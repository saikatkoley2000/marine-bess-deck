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SHIP BESS\"/>
    </mc:Choice>
  </mc:AlternateContent>
  <xr:revisionPtr revIDLastSave="0" documentId="11_6626B6F523B87806DA268F84B31C1CCE7E917DED" xr6:coauthVersionLast="47" xr6:coauthVersionMax="47" xr10:uidLastSave="{00000000-0000-0000-0000-000000000000}"/>
  <bookViews>
    <workbookView xWindow="-120" yWindow="-120" windowWidth="20730" windowHeight="11040" tabRatio="500" xr2:uid="{00000000-000D-0000-FFFF-FFFF00000000}"/>
  </bookViews>
  <sheets>
    <sheet name="Overview" sheetId="1" r:id="rId1"/>
    <sheet name="Batteries" sheetId="2" r:id="rId2"/>
    <sheet name="BMS" sheetId="3" r:id="rId3"/>
    <sheet name="Cooling System" sheetId="4" r:id="rId4"/>
    <sheet name="Battery Space &amp; Install" sheetId="5" r:id="rId5"/>
    <sheet name="Documentation" sheetId="6" r:id="rId6"/>
    <sheet name="Tests &amp; Certification" sheetId="7" r:id="rId7"/>
    <sheet name="Battery Tests"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3" i="1" l="1"/>
  <c r="E12" i="1"/>
  <c r="D12" i="1"/>
  <c r="F12" i="1" s="1"/>
  <c r="E11" i="1"/>
  <c r="D11" i="1"/>
  <c r="F11" i="1" s="1"/>
  <c r="E10" i="1"/>
  <c r="D10" i="1"/>
  <c r="F10" i="1" s="1"/>
  <c r="E9" i="1"/>
  <c r="D9" i="1"/>
  <c r="F9" i="1" s="1"/>
  <c r="E8" i="1"/>
  <c r="D8" i="1"/>
  <c r="F8" i="1" s="1"/>
  <c r="E7" i="1"/>
  <c r="D7" i="1"/>
  <c r="F7" i="1" s="1"/>
  <c r="E6" i="1"/>
  <c r="E13" i="1" s="1"/>
  <c r="D6" i="1"/>
  <c r="D13" i="1" l="1"/>
  <c r="F6" i="1"/>
  <c r="F13" i="1" s="1"/>
</calcChain>
</file>

<file path=xl/sharedStrings.xml><?xml version="1.0" encoding="utf-8"?>
<sst xmlns="http://schemas.openxmlformats.org/spreadsheetml/2006/main" count="359" uniqueCount="257">
  <si>
    <t>IRS Ship BESS / CPSS — Compliance Tracker</t>
  </si>
  <si>
    <t>Self-contained requirements (no IRS document needed to read them) · Yes (green) / No (red) / descriptive Reference</t>
  </si>
  <si>
    <t>#</t>
  </si>
  <si>
    <t>Category (sheet)</t>
  </si>
  <si>
    <t>Total items</t>
  </si>
  <si>
    <t>Yes (✔)</t>
  </si>
  <si>
    <t>No</t>
  </si>
  <si>
    <t>Outstanding (blank)</t>
  </si>
  <si>
    <t>Batteries</t>
  </si>
  <si>
    <t>BMS</t>
  </si>
  <si>
    <t>Cooling System</t>
  </si>
  <si>
    <t>Battery Space &amp; Install</t>
  </si>
  <si>
    <t>Documentation</t>
  </si>
  <si>
    <t>Tests &amp; Certification</t>
  </si>
  <si>
    <t>Battery Tests</t>
  </si>
  <si>
    <t>TOTAL</t>
  </si>
  <si>
    <t>How to use:
1. Open each category tab. Every row is a complete, standalone requirement — safe to share externally (no IRS clause numbers, no IRS document needed).
2. For each requirement put an  x  (or ✔) in Yes OR No — Yes shades green, No shades red.
3. In Reference, describe your evidence: e.g. 'BMS circuit diagram CE-BMS-04 rev B' or 'IEC 62619 cell test report R-2231, TÜV, 12-Mar-2026, LFP'.
4. This Overview tallies Yes / No / Outstanding per sheet automatically.
The 'Item' codes (BAT-, BMS-, etc.) are internal reference tags for this project, not IRS clause numbers.</t>
  </si>
  <si>
    <t>Batteries — IRS Compliance Tracker</t>
  </si>
  <si>
    <t>Each row states, in full, what must be supplied or satisfied — no external document needed to interpret it. Mark ONE of Yes / No with an  x  (or ✔): Yes shades green, No shades red. In Reference, describe your evidence (document title &amp; number, report number, issuer, date, chemistry/model). Owner: Clean Electric = battery/BMS manufacturer; Integrator = system integrator / approval applicant; Vessel/Shipyard = installation &amp; ship systems.</t>
  </si>
  <si>
    <t>Item</t>
  </si>
  <si>
    <t>Requirement / Specification (what is required)</t>
  </si>
  <si>
    <t>Owner</t>
  </si>
  <si>
    <t>Yes</t>
  </si>
  <si>
    <t>Reference / Evidence (describe your document, report no., date)</t>
  </si>
  <si>
    <t>BAT-01</t>
  </si>
  <si>
    <t>Type approval per chemistry. Each lithium-ion battery type (i.e. each distinct cell chemistry) must hold a valid type approval covering the complete approval cycle: drawing and specification approval, manufacturer works assessment, an approved type-testing programme, and satisfactory type and functional testing. Provide the type approval certificate for the exact chemistry offered on this project.</t>
  </si>
  <si>
    <t>Clean Electric</t>
  </si>
  <si>
    <t>BAT-02</t>
  </si>
  <si>
    <t>Vessel unit certification support. Beyond type approval, the specific battery system fitted to the vessel is subject to unit certification. Provide the vessel-specific plans and the valid type approval certificate so the delivered system can be tested against an approved, project-specific test protocol.</t>
  </si>
  <si>
    <t>Integrator</t>
  </si>
  <si>
    <t>BAT-03</t>
  </si>
  <si>
    <t>Battery chemistry declaration. State the active-material chemistry of the cells (e.g. LFP / NMC / LCO / LMO / NCA / LTO) with the correct designation. The chemistry drives the applicable safety tests and the vessel risk assessment, so it must be declared unambiguously with the cell/module/pack model numbers.</t>
  </si>
  <si>
    <t>BAT-04</t>
  </si>
  <si>
    <t>Cell and battery marking. Each cell/battery must be clearly marked (per IEC 62620) with: rechargeable Li/Li-ion designation, polarity, date of manufacture, manufacturer or supplier name/ID, rated capacity, nominal voltage, and an appropriate caution statement. Model name and manufacturing traceability must be on the cell/battery surface. Disposal instructions, recommended charge instructions and cell designation must be marked on/supplied with the cell (or in the manual where no marking space exists).</t>
  </si>
  <si>
    <t>BAT-05</t>
  </si>
  <si>
    <t>Certificate lifecycle &amp; change control. Confirm the type approval is current (validity is five years) and that intermediate audit intervals do not exceed 30 months. Confirm no substantial change has been made to the design, the manufacturing or control processes, or the material characteristics since the certificate was issued — any such change invalidates the certificate unless approved in advance.</t>
  </si>
  <si>
    <t>BAT-06</t>
  </si>
  <si>
    <t>Capacity adequacy. The installed battery capacity must be sufficient for the vessel's intended operation. Provide the data (cell/module ratings, usable energy, derating assumptions) needed to demonstrate the capacity meets the operational duty.</t>
  </si>
  <si>
    <t>BAT-07</t>
  </si>
  <si>
    <t>Propulsion redundancy (main-power case). Where batteries are the main source of propulsion power, two independent battery systems are required; with one system out of service the remaining system must retain enough capacity for a safe journey to the nearest port. Provide the cell/system data supporting this redundancy and reduced-capacity calculation, including charging philosophy (onboard/shore).</t>
  </si>
  <si>
    <t>BAT-08</t>
  </si>
  <si>
    <t>Physical separation by chemistry. Where the risk assessment for the chosen chemistry calls for physical separation, the two battery systems must sit in different battery spaces, and cells of different characteristics must not share a space. Confirm any manufacturer requirement or recommendation on separation for this chemistry.</t>
  </si>
  <si>
    <t>BMS — IRS Compliance Tracker</t>
  </si>
  <si>
    <t>BMS-01</t>
  </si>
  <si>
    <t>BMS role &amp; compatibility. The Battery Management System is an integral part of the battery system. It must maintain the condition of the cells and battery and protect them from unsafe situations — internal battery defects, excessive external demand (e.g. high current draw) and overcharging. Confirm the BMS is compatible with the battery system, the other battery components, and the vessel's electrical equipment, and provide its functional description.</t>
  </si>
  <si>
    <t>BMS-02</t>
  </si>
  <si>
    <t>Parameters monitored by the BMS. The BMS must monitor, as a minimum: battery charging/discharging; battery temperature at cell level; cell balance; cell voltage; available power; battery-system shutdown; battery-system breaker trip; and over-voltage trip. A power-supply-failure alarm must also be provided. Supply the monitored-points list / I-O schedule showing each of these.</t>
  </si>
  <si>
    <t>BMS-03</t>
  </si>
  <si>
    <t>Continuous monitoring at the manned control station. The following must be continuously available for monitoring at a manned control station: high and low values of cell voltage and temperature; battery current; battery charge and discharge current; available power; available energy; State of Health (SoH); and — where an integrated off-gas system is fitted — ventilation-fan running status (on/off). Provide the list of values output to the manned station.</t>
  </si>
  <si>
    <t>BMS-04</t>
  </si>
  <si>
    <t>Alarms at the manned location (preferably bridge). Audible and visual alarms must be provided for: operation of the protective device; cell temperature high; ventilation failure (where an integrated off-gas system is fitted); cell over-voltage; cell under-voltage; opening of a cell safety-venting device or high pressure in the battery; state-of-charge minimum (at manned local station and bridge); gas detection in the integrated off-gas duct (where fitted); cell voltage imbalance; low insulation level; cooling failure; and communication failure. Provide the alarm list and the alarm test method.</t>
  </si>
  <si>
    <t>BMS-05</t>
  </si>
  <si>
    <t>Thermal management &amp; charge/discharge limits. The BMS should actively manage operation with respect to battery temperature and may link continuous temperature monitoring to external responses (battery isolation, early-warning alarms, fixed fire suppression). Cells must not be charged beyond 100% state of charge, and discharge below the minimum safe voltage must be prevented. Describe the thermal-management logic and these protective limits.</t>
  </si>
  <si>
    <t>BMS-06</t>
  </si>
  <si>
    <t>Current limiting vs SOC/SOH and converter communication. The BMS must limit currents to keep the battery in a safe condition, with permitted currents controlled relative to state of charge and taking account of state of health through life. The BMS must communicate to the battery converter the voltage and current limits for both charging and discharging. Provide the BMS-to-converter interface/communication specification.</t>
  </si>
  <si>
    <t>BMS-07</t>
  </si>
  <si>
    <t>High-resolution cell monitoring. The BMS must be capable of monitoring individual cell voltages and currents to a high resolution, so that every cell stays within the range specified by the cell manufacturer. State the measurement resolution and per-cell monitoring architecture.</t>
  </si>
  <si>
    <t>BMS-08</t>
  </si>
  <si>
    <t>BMS unit certification &amp; environmental testing. The BMS is subject to unit testing and certification. Its environmental test evidence is reviewed against the marine type-approval requirements for control/monitoring/alarm/protection equipment. Provide the BMS environmental test reports and confirm the unit-certification route.</t>
  </si>
  <si>
    <t>BMS-09</t>
  </si>
  <si>
    <t>BMS software quality &amp; verification. Provide a software quality plan for the BMS. Software used for control, safety, alarm and monitoring must be capable of assessment against recognised software-verification requirements for computer-based systems — including version control, identification of safety-related functions, and verification/validation records.</t>
  </si>
  <si>
    <t>BMS-10</t>
  </si>
  <si>
    <t>SOC and SOH calculation methodology. Provide documentation describing how the battery's State of Charge and State of Health are calculated, including the inputs used and the method, so the values presented to the vessel's monitoring and energy-management systems can be relied upon.</t>
  </si>
  <si>
    <t>BMS-11</t>
  </si>
  <si>
    <t>Energy Management System independence (if provided). Where an Energy Management System is provided, it must be independent of the BMS and must continuously assess available power and energy using the SoH and SoC provided by the BMS, optimise load sharing between power sources, and be able to initiate protective action. Confirm the interface the BMS exposes to an EMS.</t>
  </si>
  <si>
    <t>Cooling System — IRS Compliance Tracker</t>
  </si>
  <si>
    <t>COOL-01</t>
  </si>
  <si>
    <t>Cooling system arrangement. Where forced cooling is required for safe battery operation, provide the details and arrangement of the cooling system, including how modules are cooled and how the cooling maintains cells within their safe operating temperature range.</t>
  </si>
  <si>
    <t>COOL-02</t>
  </si>
  <si>
    <t>Rack / module housing arrangement. Provide the rack arrangement used to house multiple battery modules together with the cooling arrangement, so the combined thermal and mechanical layout can be assessed.</t>
  </si>
  <si>
    <t>COOL-03</t>
  </si>
  <si>
    <t>Cooling-system pressure test. For a liquid (including immersion) cooling system, the cooling circuit must be pressure-tested to verify its pressure-withstanding capacity. Provide the pressure test report.</t>
  </si>
  <si>
    <t>COOL-04</t>
  </si>
  <si>
    <t>Cooling failure alarm. Failure of the cooling system must be alarmed at the manned location. Confirm how a cooling failure is detected and describe the resulting alarm.</t>
  </si>
  <si>
    <t>COOL-05</t>
  </si>
  <si>
    <t>Cooling functional test after installation. After installation (and after any major repair affecting safety) the cooling system must be functionally tested to the surveyor's satisfaction. Provide the commissioning/functional test procedure and records.</t>
  </si>
  <si>
    <t>COOL-06</t>
  </si>
  <si>
    <t>Coolant specification (immersion). For an immersion-cooled design, provide the coolant specification including dielectric properties, the flow and temperature monitoring points, and any interlock between coolant condition and the battery's charge/discharge limits.</t>
  </si>
  <si>
    <t>Battery Space &amp; Install — IRS Compliance Tracker</t>
  </si>
  <si>
    <t>INST-01</t>
  </si>
  <si>
    <t>Class notation. The vessel is to be assigned the appropriate battery notation depending on the battery's role — main propulsion power, or additional (propulsion-support) power in a hybrid arrangement. Confirm the intended role so the correct notation and requirements apply.</t>
  </si>
  <si>
    <t>INST-02</t>
  </si>
  <si>
    <t>Dedicated battery space. Battery units must be installed in a separate room/space reserved for the purpose, positioned aft of the collision bulkhead, with boundaries forming part of the vessel structure (or of equivalent structural integrity), and not adjacent to spaces containing combustible/flammable materials. Access must be via normally-closed doors with alarms, or self-closing doors.</t>
  </si>
  <si>
    <t>Vessel/Shipyard</t>
  </si>
  <si>
    <t>INST-03</t>
  </si>
  <si>
    <t>Fire/collision survivability &amp; category-A treatment. Batteries driving propulsion must be installed so that a fire or collision will not cause total loss of propulsion power, with redundant-system cables separated as widely as practicable. The battery compartment is to be treated as a machinery space of category A, with structural fire protection to suit.</t>
  </si>
  <si>
    <t>INST-04</t>
  </si>
  <si>
    <t>Terminals &amp; ingress protection. Battery terminals must be clearly marked with polarity, rated for the maximum current, protected against the risk of short circuit, and terminated per manufacturer recommendation. The enclosure ingress protection must suit the installation area (minimum IP44 recommended). Provide terminal/enclosure details and the IP rating.</t>
  </si>
  <si>
    <t>INST-05</t>
  </si>
  <si>
    <t>Overload/short-circuit protection &amp; emergency shutdown. Each battery system must be protected against overload and short circuit. An emergency shutdown must disconnect the battery system in an emergency, raise an alarm at a manned station, and be operable both from outside the battery space and from a manned control location. Provide the protection scheme and ESD arrangement/interfaces.</t>
  </si>
  <si>
    <t>INST-06</t>
  </si>
  <si>
    <t>Independent space-temperature sensing. The sensors used for battery-space temperature alarm and indication must be independent of the sensors used for battery (cell) temperature monitoring. Confirm the sensor architecture.</t>
  </si>
  <si>
    <t>INST-07</t>
  </si>
  <si>
    <t>Safety system behaviour. The manufacturer's recommended safety practices must be documented and implemented. The safety system must activate automatically on manufacturer-defined conditions (e.g. overcharge, undercharge, high temperature, gas leakage), raising audio-visual alarms at the manned control station and bridge. Charging voltage and current must stay within manufacturer-recommended values with an alarm when out of range; single-cell voltage and gas release must be monitored; and interfaces to ventilation, fire-extinguishing and shutdown must be provided and demonstrated. Provide the safety-system description and the conditions/setpoints.</t>
  </si>
  <si>
    <t>INST-08</t>
  </si>
  <si>
    <t>Ventilation. The battery compartment must be ventilated by an independent mechanical ventilation system (ducting independent of other HVAC unless the risk assessment finds the space non-hazardous), with an effective air inlet near floor level and spark-minimising, anti-static (non-metallic) fans. Provide at least 2 air changes/hour in normal operation and at least 6 air changes/hour in an emergency gas-release situation; the emergency exhaust fan must start automatically on gas detection and be operable remotely from a manned station and locally. Provide ventilation ducting plans and airflow calculations.</t>
  </si>
  <si>
    <t>INST-09</t>
  </si>
  <si>
    <t>Hazardous-area &amp; electrical equipment. Electrical equipment in the battery space must be of certified safe type, certified for the gas and temperature group of the battery's gas composition and at least Type IIC T1. Hazardous-area categorisation must follow IEC 60079, with zone 2 assigned where flammable gases may be evolved. Provide the hazardous-area plan and the Ex equipment list with protection details.</t>
  </si>
  <si>
    <t>INST-10</t>
  </si>
  <si>
    <t>Fire &amp; gas detection. Battery spaces must be monitored by smoke detectors (complying with the IMO FSS Code) and a fire detection system with its alarm at the manned control station. Where gas can be released, a gas detection system must alarm at 30% LEL and automatically disconnect the batteries at 30% LEL, with any electrical circuit in the space de-energised at 60% LEL. Provide the fire &amp; gas detection plan.</t>
  </si>
  <si>
    <t>INST-11</t>
  </si>
  <si>
    <t>Battery-room temperature monitoring. Automatic monitoring of temperature in the battery room/space must be provided; for lithium-ion installations, fixed or portable thermographic cameras are recommended. Provide the temperature-monitoring arrangement.</t>
  </si>
  <si>
    <t>INST-12</t>
  </si>
  <si>
    <t>Fire extinguishing. Battery spaces must be protected by a fixed water-based extinguishing system approved for machinery spaces of category A, designed around the ventilation arrangement, with control/activation from outside the space and an interlock preventing automatic release while access doors are open. In addition, two portable dry-powder or two CO2 extinguishers (at least 5 kg) must be provided near the battery room. Provide the fire-extinguishing plan and design basis.</t>
  </si>
  <si>
    <t>INST-13</t>
  </si>
  <si>
    <t>Firefighting-risk guidance in the manual. The operation &amp; maintenance manual must address the risks during and after firefighting in battery spaces — potential re-ignition, arcing if batteries are disturbed, stored energy in partially burnt cells, emission of toxic gases (including continued CO release while cells remain hot), and the need for continuous CO monitoring and PPE. Provide the relevant manual section.</t>
  </si>
  <si>
    <t>Documentation — IRS Compliance Tracker</t>
  </si>
  <si>
    <t>DOC-01</t>
  </si>
  <si>
    <t>System functional description &amp; specification. A functional description and detailed specification of the battery system for which approval is requested, stating the limiting conditions and the specific requirements for installation, operation and safety.</t>
  </si>
  <si>
    <t>DOC-02</t>
  </si>
  <si>
    <t>BMS functional description &amp; circuit diagram. A functional description of the Battery Management System, together with a BMS circuit diagram that clearly identifies the safety and protective devices.</t>
  </si>
  <si>
    <t>DOC-03</t>
  </si>
  <si>
    <t>System block diagram &amp; communications. A system block diagram clearly showing the arrangement of modules, strings and the battery pack, together with the communication system between the battery modules, the BMS and the overall controller, including details of the external interfaces.</t>
  </si>
  <si>
    <t>DOC-04</t>
  </si>
  <si>
    <t>List of controlled &amp; monitored points. A complete list of every point that the system controls and every point it monitors — i.e. each signal/parameter the battery system and BMS act upon or observe (for example cell voltages and temperatures, currents, contactor/breaker states, cooling and ventilation states, insulation, communications). The list should identify, for each point, what is measured/controlled and where it is indicated.</t>
  </si>
  <si>
    <t>DOC-05</t>
  </si>
  <si>
    <t>List of alarm &amp; monitoring parameters. A complete list of the alarm and monitoring parameters — each monitored value, its alarm condition/setpoint where applicable, and where the alarm/indication is presented (manned control station, bridge, local).</t>
  </si>
  <si>
    <t>DOC-06</t>
  </si>
  <si>
    <t>Manufacturer quality plan. The battery-system manufacturer's quality plan, defining the procedures for inspection of materials, components, cells, modules, battery packs and battery systems, and covering the whole process of producing each type of cell, module, pack and system, with documented process controls relating to product safety.</t>
  </si>
  <si>
    <t>DOC-07</t>
  </si>
  <si>
    <t>System operation manual. The operation manual for the battery system, describing safe operation, operating modes and limits.</t>
  </si>
  <si>
    <t>DOC-08</t>
  </si>
  <si>
    <t>Type &amp; performance test protocol. The type-test and performance-test protocol, with acceptance criteria, for testing at the manufacturer's works. Tests required to assess the LAN/communication performance must be included. This protocol is to be mutually agreed as the basis for testing and acceptance.</t>
  </si>
  <si>
    <t>DOC-09</t>
  </si>
  <si>
    <t>Quality assurance plan. The quality assurance plan for the product.</t>
  </si>
  <si>
    <t>DOC-10</t>
  </si>
  <si>
    <t>Maintenance manual. The maintenance manual for the battery system.</t>
  </si>
  <si>
    <t>DOC-11</t>
  </si>
  <si>
    <t>Overall dimensional details. Overall dimensional details / general arrangement of the battery system (and its containerised enclosure).</t>
  </si>
  <si>
    <t>DOC-12</t>
  </si>
  <si>
    <t>SOC/SOH calculation documentation. Documentation of the battery state-of-charge and state-of-health calculation (method and inputs).</t>
  </si>
  <si>
    <t>DOC-13</t>
  </si>
  <si>
    <t>BMS software quality plan. The battery management system software quality plan.</t>
  </si>
  <si>
    <t>DOC-14</t>
  </si>
  <si>
    <t>Vessel review documents. For the vessel installation, provide (for review): the battery power philosophy (voyage duration when battery is sole power source, charging methodology, shore-charging facilities, number of voyages per day, port time and % charging in port); an electrical load chart for the operational modes with each system's capacity and power at operational and minimum operational speed; battery details (chemistry, test certificates, cell and system voltage, number of banks, manufacturer-recommended charge/discharge rates, environmental limits); and the functions of the power/energy management system.</t>
  </si>
  <si>
    <t>DOC-15</t>
  </si>
  <si>
    <t>Vessel approval documents. For the vessel installation, provide (for approval): block and electrical wiring diagram of the battery system and its interfaces (control, monitoring, alarm, emergency shutdown); functional description and control diagrams of the BMS and PMS; test programmes (functional tests of alarm/safety/control systems plus any tests arising from the risk assessment); and the mitigation-system plans (structural fire protection, fire &amp; gas detection, fire extinguishing, ventilation including ducting, hazardous-area plan, and Ex electrical equipment list with protection details).</t>
  </si>
  <si>
    <t>DOC-16</t>
  </si>
  <si>
    <t>Instruction, O&amp;M manual &amp; maintenance log. The manufacturer instruction manual specifying safe installation, commissioning, testing and maintenance (kept on board); a battery maintenance log; and O&amp;M procedures covering equipment tests, routine maintenance, periodical tests, functional tests of control/monitoring/safety/alarm systems, SOH and SOC record verification, and software-maintenance instructions.</t>
  </si>
  <si>
    <t>DOC-17</t>
  </si>
  <si>
    <t>Battery converter specification. A specification for the battery converter (the equipment used for charging and discharging the battery), including how it communicates the charging/discharging voltage and current limits with the BMS.</t>
  </si>
  <si>
    <t>Tests &amp; Certification — IRS Compliance Tracker</t>
  </si>
  <si>
    <t>TC-01</t>
  </si>
  <si>
    <t>Cell type tests. The battery cells must pass the lithium cell type tests (external short circuit, impact, drop, thermal abuse, overcharge, forced discharge), each demonstrating no fire or explosion. Provide the full cell test reports. (Detailed per-test tracking is on the 'Battery Tests' sheet.)</t>
  </si>
  <si>
    <t>TC-02</t>
  </si>
  <si>
    <t>Battery-system type tests. The battery system must pass the system-level type tests: propagation/internal thermal event, overcharge with voltage, overcharge with current, overheating control, capacity validation, dielectric (high-voltage) strength, insulation resistance, and cooling-system pressure test. Provide the full system test reports. (Detailed per-test tracking is on the 'Battery Tests' sheet.)</t>
  </si>
  <si>
    <t>TC-03</t>
  </si>
  <si>
    <t>Electrical type tests. The cells/battery must pass the electrical type tests: discharge performance at +25 °C, discharge performance at low temperature, high-rate permissible current, internal a.c. resistance, internal d.c. resistance, endurance in cycle, and endurance in storage. Provide the full electrical test reports. (Detailed per-test tracking is on the 'Battery Tests' sheet.)</t>
  </si>
  <si>
    <t>TC-04</t>
  </si>
  <si>
    <t>Environmental type tests. The battery system must pass the environmental type tests: vibration, dry heat, damp heat, flame retardant and EMC — plus cold and corrosion where the batteries are located outside/on the weather deck. Provide the full environmental test reports. (Detailed per-test tracking is on the 'Battery Tests' sheet.)</t>
  </si>
  <si>
    <t>TC-05</t>
  </si>
  <si>
    <t>Measurement tolerances. Confirm that the acceptance measurements were taken within the required tolerances: ±0.5% for voltage, ±1% for current, ±2 °C for temperature, ±0.1% for time, and ±1% for dimensions. Provide the calibration/tolerance statement for the test setup.</t>
  </si>
  <si>
    <t>TC-06</t>
  </si>
  <si>
    <t>Works assessment &amp; witnessing. The manufacturer's facilities for design, manufacture and testing (including implemented quality-control procedures) are assessed, and type tests are witnessed by the surveyor — or, where testing is done in a recognised accredited laboratory, the test records are reviewed instead. Provide works-assessment status and, for any accredited-lab testing, the lab's recognition details and full test records.</t>
  </si>
  <si>
    <t>TC-07</t>
  </si>
  <si>
    <t>Agreed system test protocol. A test protocol for the complete system must be submitted by the manufacturer and mutually agreed as the basis for testing and acceptance, covering the required inspections/tests including LAN/communication performance. Provide the proposed protocol with acceptance criteria.</t>
  </si>
  <si>
    <t>TC-08</t>
  </si>
  <si>
    <t>Type approval &amp; unit certification. Batteries and the BMS must be type tested/type approved to the relevant IEC standard (accredited-lab results reviewed, or witnessed by the surveyor), and both are additionally subject to unit certification. Provide the type approval and unit certificates.</t>
  </si>
  <si>
    <t>TC-09</t>
  </si>
  <si>
    <t>Installation surveys &amp; tests. After installation, the arrangement of the battery installation, BMS, PMS, cable routing, fire detection/extinguishing and ventilation is verified, and functional, safety and performance tests are carried out to an approved programme. Provide the installation survey and test records.</t>
  </si>
  <si>
    <t>TC-10</t>
  </si>
  <si>
    <t>Post-installation commissioning tests. After installation (and after any major repair affecting safety), the following must be shown to the surveyor's satisfaction: visual inspection; operational test of BMS and PMS; test of all alarms and safety functions; charging and discharging; emergency-shutdown operation; fire and gas detection; fire extinguishing; ventilation and cooling; and any additional tests identified in the risk assessment. Provide the commissioning test procedure and records.</t>
  </si>
  <si>
    <t>TC-11</t>
  </si>
  <si>
    <t>Periodical (annual) surveys. At each annual survey the battery spaces and equipment are examined and the operation/maintenance documentation verified, including: storage/maintenance/replacement records; UPS operation; all emergency-shutdown arrangements; all smoke, gas and fire detectors; ventilation systems; general examination of firefighting systems; and test of alarms and safety functions. Provide the information needed to support these surveys.</t>
  </si>
  <si>
    <t>Battery Tests — full list of individual type tests</t>
  </si>
  <si>
    <t>Every individual battery type test, grouped a) cell tests, b) system tests, c) electrical tests, d) environmental tests. All are the battery/BMS manufacturer's responsibility, witnessed by the surveyor or performed in a recognised accredited lab. Mark ONE of Yes / No with an  x  (or ✔): Yes shades green, No shades red. In Reference, describe the test report.</t>
  </si>
  <si>
    <t>Test — what is verified</t>
  </si>
  <si>
    <t>Standard / Clause</t>
  </si>
  <si>
    <t>Reference / Evidence (report no., issuer, date, chemistry/model)</t>
  </si>
  <si>
    <t>a) Type Tests of Battery Cells  (Lithium Cell Tests — IEC 62619 Cl.7.2)</t>
  </si>
  <si>
    <t>BT-01</t>
  </si>
  <si>
    <t>External short circuit — a short-circuit between the positive and negative terminals must not cause a fire or explosion.</t>
  </si>
  <si>
    <t>IEC 62619 Cl.7.2.1</t>
  </si>
  <si>
    <t>BT-02</t>
  </si>
  <si>
    <t>Impact — an impact applied to the cell must not cause a fire or explosion.</t>
  </si>
  <si>
    <t>IEC 62619 Cl.7.2.2</t>
  </si>
  <si>
    <t>BT-03</t>
  </si>
  <si>
    <t>Drop test — dropping a cell, cell block or battery system must not cause a fire or explosion.</t>
  </si>
  <si>
    <t>IEC 62619 Cl.7.2.3</t>
  </si>
  <si>
    <t>BT-04</t>
  </si>
  <si>
    <t>Thermal abuse — an elevated temperature applied to a cell or cell block must not cause a fire or explosion.</t>
  </si>
  <si>
    <t>IEC 62619 Cl.7.2.4</t>
  </si>
  <si>
    <t>BT-05</t>
  </si>
  <si>
    <t>Overcharge — charging for longer than the manufacturer specifies must not cause a fire or explosion.</t>
  </si>
  <si>
    <t>IEC 62619 Cl.7.2.5</t>
  </si>
  <si>
    <t>BT-06</t>
  </si>
  <si>
    <t>Forced discharge — a cell in a multi-cell application must withstand a forced discharge without fire or explosion.</t>
  </si>
  <si>
    <t>IEC 62619 Cl.7.2.6</t>
  </si>
  <si>
    <t>b) Tests on Battery Systems  (Lithium Battery System Tests)</t>
  </si>
  <si>
    <t>BT-07</t>
  </si>
  <si>
    <t>Propagation / internal thermal event — a forced internal short-circuit within one cell must not cause fire of the entire battery system, nor fire propagating outside the system.</t>
  </si>
  <si>
    <t>IEC 62619 Cl.7.3.3</t>
  </si>
  <si>
    <t>BT-08</t>
  </si>
  <si>
    <t>Overcharge with voltage — the BMS must control the charging voltage below the cells' upper-limit charging voltage.</t>
  </si>
  <si>
    <t>IEC 62619 Cl.8.2.2</t>
  </si>
  <si>
    <t>BT-09</t>
  </si>
  <si>
    <t>Overcharge with current — if input current exceeds the cells' maximum charging current, the BMS must interrupt charging to protect the system.</t>
  </si>
  <si>
    <t>IEC 62619 Cl.8.2.3</t>
  </si>
  <si>
    <t>BT-10</t>
  </si>
  <si>
    <t>Overheating control — the BMS must terminate charging when cell/battery temperature exceeds the manufacturer's specified upper limit.</t>
  </si>
  <si>
    <t>IEC 62619 Cl.8.2.4</t>
  </si>
  <si>
    <t>BT-11</t>
  </si>
  <si>
    <t>Capacity validation — determines the capacity a cell retains after extended storage, and the capacity recoverable by a subsequent recharge.</t>
  </si>
  <si>
    <t>IEC 62620 Cl.6.4</t>
  </si>
  <si>
    <t>BT-12</t>
  </si>
  <si>
    <t>Dielectric strength (high-voltage test) — verifies the high-voltage withstanding capacity.</t>
  </si>
  <si>
    <t>High-voltage / dielectric test</t>
  </si>
  <si>
    <t>BT-13</t>
  </si>
  <si>
    <t>Insulation resistance — verifies the strength of the insulation.</t>
  </si>
  <si>
    <t>Insulation-resistance test</t>
  </si>
  <si>
    <t>BT-14</t>
  </si>
  <si>
    <t>Pressure test of cooling system — verifies the pressure-withstanding capacity of the liquid/immersion cooling circuit (liquid-cooled systems).</t>
  </si>
  <si>
    <t>Cooling-circuit pressure test</t>
  </si>
  <si>
    <t>c) Electrical Type Tests  (Ref. IEC 62620)</t>
  </si>
  <si>
    <t>BT-15</t>
  </si>
  <si>
    <t>Discharge performance at +25 °C — verifies the delivered capacity is not less than specified.</t>
  </si>
  <si>
    <t>IEC 62620 Cl.6.3.1</t>
  </si>
  <si>
    <t>BT-16</t>
  </si>
  <si>
    <t>Discharge performance at low temperature — identifies the temperature at which the cell delivers 70% of rated capacity.</t>
  </si>
  <si>
    <t>IEC 62620 Cl.6.3.2</t>
  </si>
  <si>
    <t>BT-17</t>
  </si>
  <si>
    <t>High-rate permissible current — verifies the battery type's ability to withstand high currents.</t>
  </si>
  <si>
    <t>IEC 62620 Cl.6.3.3</t>
  </si>
  <si>
    <t>BT-18</t>
  </si>
  <si>
    <t>Internal a.c. resistance — verifies the measured resistance is not more than the manufacturer-declared value.</t>
  </si>
  <si>
    <t>IEC 62620 Cl.6.5.2</t>
  </si>
  <si>
    <t>BT-19</t>
  </si>
  <si>
    <t>Internal d.c. resistance — verifies the measured resistance is not more than the manufacturer-declared value.</t>
  </si>
  <si>
    <t>IEC 62620 Cl.6.5.3</t>
  </si>
  <si>
    <t>BT-20</t>
  </si>
  <si>
    <t>Endurance in cycle — verifies the capacity after cyclic charge and discharge (for cyclic-application batteries).</t>
  </si>
  <si>
    <t>IEC 62620 Cl.6.6.1</t>
  </si>
  <si>
    <t>BT-21</t>
  </si>
  <si>
    <t>Endurance in storage — verifies the capacity when used for standby application (constant-voltage storage).</t>
  </si>
  <si>
    <t>IEC 62620 Cl.6.6.2</t>
  </si>
  <si>
    <t>d) Environmental Tests of Batteries  (Lithium Battery System Environmental Tests)</t>
  </si>
  <si>
    <t>BT-22</t>
  </si>
  <si>
    <t>Vibration — verifies vibration-withstanding capacity.</t>
  </si>
  <si>
    <t>Environmental — vibration</t>
  </si>
  <si>
    <t>BT-23</t>
  </si>
  <si>
    <t>Dry heat — verifies dry-heat-withstanding capacity.</t>
  </si>
  <si>
    <t>Environmental — dry heat</t>
  </si>
  <si>
    <t>BT-24</t>
  </si>
  <si>
    <t>Damp heat — verifies damp-heat-withstanding capacity in humid conditions.</t>
  </si>
  <si>
    <t>Environmental — damp heat</t>
  </si>
  <si>
    <t>BT-25</t>
  </si>
  <si>
    <t>Cold** — verifies low-temperature-withstanding capacity. (**Applicable only when batteries are located outside / on the weather deck.)</t>
  </si>
  <si>
    <t>Environmental — cold</t>
  </si>
  <si>
    <t>BT-26</t>
  </si>
  <si>
    <t>Corrosion** — verifies capability of operation in a salty atmosphere. (**Applicable only when batteries are located outside / on the weather deck.)</t>
  </si>
  <si>
    <t>Environmental — corrosion (salt)</t>
  </si>
  <si>
    <t>BT-27</t>
  </si>
  <si>
    <t>Flame retardant — verifies flame-exposure-withstanding capacity (where flammable materials are used).</t>
  </si>
  <si>
    <t>Environmental — flame retardant</t>
  </si>
  <si>
    <t>BT-28</t>
  </si>
  <si>
    <t>EMC — verifies electromagnetic compatibility.</t>
  </si>
  <si>
    <t>Environmental — EMC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</si>
</sst>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6"/>
      <color rgb="FF1F3864"/>
      <name val="Arial"/>
      <charset val="1"/>
    </font>
    <font>
      <i/>
      <sz val="9"/>
      <color rgb="FF595959"/>
      <name val="Arial"/>
      <charset val="1"/>
    </font>
    <font>
      <b/>
      <sz val="11"/>
      <color rgb="FFFFFFFF"/>
      <name val="Arial"/>
      <charset val="1"/>
    </font>
    <font>
      <sz val="10"/>
      <name val="Arial"/>
      <charset val="1"/>
    </font>
    <font>
      <b/>
      <sz val="10"/>
      <name val="Arial"/>
      <charset val="1"/>
    </font>
    <font>
      <b/>
      <sz val="14"/>
      <color rgb="FF1F3864"/>
      <name val="Arial"/>
      <charset val="1"/>
    </font>
    <font>
      <b/>
      <sz val="11"/>
      <color rgb="FF1F3864"/>
      <name val="Arial"/>
      <charset val="1"/>
    </font>
  </fonts>
  <fills count="6">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F2F2F2"/>
        <bgColor rgb="FFFFFFFF"/>
      </patternFill>
    </fill>
    <fill>
      <patternFill patternType="solid">
        <fgColor rgb="FFD6DCE5"/>
        <bgColor rgb="FFC6EFCE"/>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diagonal/>
    </border>
    <border>
      <left style="thin">
        <color rgb="FFBFBFBF"/>
      </left>
      <right/>
      <top style="thin">
        <color rgb="FFBFBFBF"/>
      </top>
      <bottom style="thin">
        <color rgb="FFBFBFBF"/>
      </bottom>
      <diagonal/>
    </border>
  </borders>
  <cellStyleXfs count="1">
    <xf numFmtId="0" fontId="0" fillId="0" borderId="0"/>
  </cellStyleXfs>
  <cellXfs count="17">
    <xf numFmtId="0" fontId="0" fillId="0" borderId="0" xfId="0"/>
    <xf numFmtId="0" fontId="7" fillId="5" borderId="3" xfId="0" applyFont="1" applyFill="1" applyBorder="1" applyAlignment="1">
      <alignment horizontal="left" vertical="center"/>
    </xf>
    <xf numFmtId="0" fontId="2" fillId="0" borderId="0" xfId="0" applyFont="1" applyAlignment="1">
      <alignment horizontal="left" vertical="center" wrapText="1"/>
    </xf>
    <xf numFmtId="0" fontId="6" fillId="0" borderId="0" xfId="0" applyFont="1" applyAlignment="1">
      <alignment horizontal="left" vertical="center"/>
    </xf>
    <xf numFmtId="0" fontId="4" fillId="3" borderId="2" xfId="0" applyFont="1" applyFill="1" applyBorder="1" applyAlignment="1">
      <alignment vertical="top" wrapText="1"/>
    </xf>
    <xf numFmtId="0" fontId="2" fillId="0" borderId="0" xfId="0" applyFont="1"/>
    <xf numFmtId="0" fontId="1" fillId="0" borderId="0" xfId="0" applyFont="1"/>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0" fillId="0" borderId="1" xfId="0" applyBorder="1"/>
    <xf numFmtId="0" fontId="5" fillId="0" borderId="1" xfId="0" applyFont="1" applyBorder="1"/>
    <xf numFmtId="0" fontId="5" fillId="0" borderId="1" xfId="0" applyFont="1" applyBorder="1" applyAlignment="1">
      <alignment horizontal="center" vertical="center" wrapText="1"/>
    </xf>
    <xf numFmtId="0" fontId="4" fillId="0" borderId="1" xfId="0" applyFont="1" applyBorder="1" applyAlignment="1">
      <alignment vertical="top" wrapText="1"/>
    </xf>
    <xf numFmtId="0" fontId="5" fillId="4" borderId="1" xfId="0" applyFont="1" applyFill="1" applyBorder="1" applyAlignment="1">
      <alignment horizontal="center" vertical="center" wrapText="1"/>
    </xf>
    <xf numFmtId="0" fontId="4" fillId="4" borderId="1" xfId="0" applyFont="1" applyFill="1" applyBorder="1" applyAlignment="1">
      <alignment vertical="top" wrapText="1"/>
    </xf>
    <xf numFmtId="0" fontId="4" fillId="4" borderId="1" xfId="0" applyFont="1" applyFill="1" applyBorder="1" applyAlignment="1">
      <alignment horizontal="center" vertical="center" wrapText="1"/>
    </xf>
  </cellXfs>
  <cellStyles count="1">
    <cellStyle name="Normal" xfId="0" builtinId="0"/>
  </cellStyles>
  <dxfs count="20">
    <dxf>
      <font>
        <b/>
        <sz val="12"/>
        <color rgb="FF9C0006"/>
        <name val="Arial"/>
        <charset val="1"/>
      </font>
      <fill>
        <patternFill>
          <bgColor rgb="FFFFC7CE"/>
        </patternFill>
      </fill>
    </dxf>
    <dxf>
      <font>
        <b/>
        <sz val="12"/>
        <color rgb="FF9C0006"/>
        <name val="Arial"/>
        <charset val="1"/>
      </font>
      <fill>
        <patternFill>
          <bgColor rgb="FFFFC7CE"/>
        </patternFill>
      </fill>
    </dxf>
    <dxf>
      <font>
        <b/>
        <sz val="12"/>
        <color rgb="FF9C0006"/>
        <name val="Arial"/>
        <charset val="1"/>
      </font>
      <fill>
        <patternFill>
          <bgColor rgb="FFFFC7CE"/>
        </patternFill>
      </fill>
    </dxf>
    <dxf>
      <font>
        <b/>
        <sz val="12"/>
        <color rgb="FF9C0006"/>
        <name val="Arial"/>
        <charset val="1"/>
      </font>
      <fill>
        <patternFill>
          <bgColor rgb="FFFFC7CE"/>
        </patternFill>
      </fill>
    </dxf>
    <dxf>
      <font>
        <b/>
        <sz val="12"/>
        <color rgb="FF006100"/>
        <name val="Arial"/>
        <charset val="1"/>
      </font>
      <fill>
        <patternFill>
          <bgColor rgb="FFC6EFCE"/>
        </patternFill>
      </fill>
    </dxf>
    <dxf>
      <font>
        <b/>
        <sz val="12"/>
        <color rgb="FF006100"/>
        <name val="Arial"/>
        <charset val="1"/>
      </font>
      <fill>
        <patternFill>
          <bgColor rgb="FFC6EFCE"/>
        </patternFill>
      </fill>
    </dxf>
    <dxf>
      <font>
        <b/>
        <sz val="12"/>
        <color rgb="FF006100"/>
        <name val="Arial"/>
        <charset val="1"/>
      </font>
      <fill>
        <patternFill>
          <bgColor rgb="FFC6EFCE"/>
        </patternFill>
      </fill>
    </dxf>
    <dxf>
      <font>
        <b/>
        <sz val="12"/>
        <color rgb="FF006100"/>
        <name val="Arial"/>
        <charset val="1"/>
      </font>
      <fill>
        <patternFill>
          <bgColor rgb="FFC6EFCE"/>
        </patternFill>
      </fill>
    </dxf>
    <dxf>
      <font>
        <b/>
        <sz val="12"/>
        <color rgb="FF9C0006"/>
        <name val="Arial"/>
        <charset val="1"/>
      </font>
      <fill>
        <patternFill>
          <bgColor rgb="FFFFC7CE"/>
        </patternFill>
      </fill>
    </dxf>
    <dxf>
      <font>
        <b/>
        <sz val="12"/>
        <color rgb="FF006100"/>
        <name val="Arial"/>
        <charset val="1"/>
      </font>
      <fill>
        <patternFill>
          <bgColor rgb="FFC6EFCE"/>
        </patternFill>
      </fill>
    </dxf>
    <dxf>
      <font>
        <b/>
        <sz val="12"/>
        <color rgb="FF9C0006"/>
        <name val="Arial"/>
        <charset val="1"/>
      </font>
      <fill>
        <patternFill>
          <bgColor rgb="FFFFC7CE"/>
        </patternFill>
      </fill>
    </dxf>
    <dxf>
      <font>
        <b/>
        <sz val="12"/>
        <color rgb="FF006100"/>
        <name val="Arial"/>
        <charset val="1"/>
      </font>
      <fill>
        <patternFill>
          <bgColor rgb="FFC6EFCE"/>
        </patternFill>
      </fill>
    </dxf>
    <dxf>
      <font>
        <b/>
        <sz val="12"/>
        <color rgb="FF9C0006"/>
        <name val="Arial"/>
        <charset val="1"/>
      </font>
      <fill>
        <patternFill>
          <bgColor rgb="FFFFC7CE"/>
        </patternFill>
      </fill>
    </dxf>
    <dxf>
      <font>
        <b/>
        <sz val="12"/>
        <color rgb="FF006100"/>
        <name val="Arial"/>
        <charset val="1"/>
      </font>
      <fill>
        <patternFill>
          <bgColor rgb="FFC6EFCE"/>
        </patternFill>
      </fill>
    </dxf>
    <dxf>
      <font>
        <b/>
        <sz val="12"/>
        <color rgb="FF9C0006"/>
        <name val="Arial"/>
        <charset val="1"/>
      </font>
      <fill>
        <patternFill>
          <bgColor rgb="FFFFC7CE"/>
        </patternFill>
      </fill>
    </dxf>
    <dxf>
      <font>
        <b/>
        <sz val="12"/>
        <color rgb="FF006100"/>
        <name val="Arial"/>
        <charset val="1"/>
      </font>
      <fill>
        <patternFill>
          <bgColor rgb="FFC6EFCE"/>
        </patternFill>
      </fill>
    </dxf>
    <dxf>
      <font>
        <b/>
        <sz val="12"/>
        <color rgb="FF9C0006"/>
        <name val="Arial"/>
        <charset val="1"/>
      </font>
      <fill>
        <patternFill>
          <bgColor rgb="FFFFC7CE"/>
        </patternFill>
      </fill>
    </dxf>
    <dxf>
      <font>
        <b/>
        <sz val="12"/>
        <color rgb="FF006100"/>
        <name val="Arial"/>
        <charset val="1"/>
      </font>
      <fill>
        <patternFill>
          <bgColor rgb="FFC6EFCE"/>
        </patternFill>
      </fill>
    </dxf>
    <dxf>
      <font>
        <b/>
        <sz val="12"/>
        <color rgb="FF9C0006"/>
        <name val="Arial"/>
        <charset val="1"/>
      </font>
      <fill>
        <patternFill>
          <bgColor rgb="FFFFC7CE"/>
        </patternFill>
      </fill>
    </dxf>
    <dxf>
      <font>
        <b/>
        <sz val="12"/>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6DCE5"/>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21"/>
  <sheetViews>
    <sheetView showGridLines="0" tabSelected="1" zoomScaleNormal="100" workbookViewId="0">
      <selection activeCell="G10" sqref="G10"/>
    </sheetView>
  </sheetViews>
  <sheetFormatPr defaultColWidth="8.7109375" defaultRowHeight="15" x14ac:dyDescent="0.25"/>
  <cols>
    <col min="1" max="1" width="4" customWidth="1"/>
    <col min="2" max="2" width="34" customWidth="1"/>
    <col min="3" max="3" width="13" customWidth="1"/>
    <col min="4" max="4" width="12" customWidth="1"/>
    <col min="5" max="5" width="10" customWidth="1"/>
    <col min="6" max="6" width="18" customWidth="1"/>
  </cols>
  <sheetData>
    <row r="2" spans="1:6" ht="20.25" x14ac:dyDescent="0.3">
      <c r="B2" s="6" t="s">
        <v>0</v>
      </c>
      <c r="C2" s="6"/>
      <c r="D2" s="6"/>
      <c r="E2" s="6"/>
      <c r="F2" s="6"/>
    </row>
    <row r="3" spans="1:6" x14ac:dyDescent="0.25">
      <c r="B3" s="5" t="s">
        <v>1</v>
      </c>
      <c r="C3" s="5"/>
      <c r="D3" s="5"/>
      <c r="E3" s="5"/>
      <c r="F3" s="5"/>
    </row>
    <row r="5" spans="1:6" ht="27.75" customHeight="1" x14ac:dyDescent="0.25">
      <c r="A5" s="7" t="s">
        <v>2</v>
      </c>
      <c r="B5" s="7" t="s">
        <v>3</v>
      </c>
      <c r="C5" s="7" t="s">
        <v>4</v>
      </c>
      <c r="D5" s="7" t="s">
        <v>5</v>
      </c>
      <c r="E5" s="7" t="s">
        <v>6</v>
      </c>
      <c r="F5" s="7" t="s">
        <v>7</v>
      </c>
    </row>
    <row r="6" spans="1:6" x14ac:dyDescent="0.25">
      <c r="A6" s="8">
        <v>1</v>
      </c>
      <c r="B6" s="9" t="s">
        <v>8</v>
      </c>
      <c r="C6" s="8">
        <v>8</v>
      </c>
      <c r="D6" s="8">
        <f>COUNTIF(Batteries!D5:D12,"?*")+COUNTIF(Batteries!D5:D12,"✔")</f>
        <v>0</v>
      </c>
      <c r="E6" s="8">
        <f>COUNTIF(Batteries!E5:E12,"?*")+COUNTIF(Batteries!E5:E12,"✔")</f>
        <v>0</v>
      </c>
      <c r="F6" s="8">
        <f t="shared" ref="F6:F12" si="0">C6-D6-E6</f>
        <v>8</v>
      </c>
    </row>
    <row r="7" spans="1:6" x14ac:dyDescent="0.25">
      <c r="A7" s="8">
        <v>2</v>
      </c>
      <c r="B7" s="9" t="s">
        <v>9</v>
      </c>
      <c r="C7" s="8">
        <v>11</v>
      </c>
      <c r="D7" s="8">
        <f>COUNTIF(BMS!D5:D15,"?*")+COUNTIF(BMS!D5:D15,"✔")</f>
        <v>0</v>
      </c>
      <c r="E7" s="8">
        <f>COUNTIF(BMS!E5:E15,"?*")+COUNTIF(BMS!E5:E15,"✔")</f>
        <v>0</v>
      </c>
      <c r="F7" s="8">
        <f t="shared" si="0"/>
        <v>11</v>
      </c>
    </row>
    <row r="8" spans="1:6" x14ac:dyDescent="0.25">
      <c r="A8" s="8">
        <v>3</v>
      </c>
      <c r="B8" s="9" t="s">
        <v>10</v>
      </c>
      <c r="C8" s="8">
        <v>6</v>
      </c>
      <c r="D8" s="8">
        <f>COUNTIF('Cooling System'!D5:D10,"?*")+COUNTIF('Cooling System'!D5:D10,"✔")</f>
        <v>0</v>
      </c>
      <c r="E8" s="8">
        <f>COUNTIF('Cooling System'!E5:E10,"?*")+COUNTIF('Cooling System'!E5:E10,"✔")</f>
        <v>0</v>
      </c>
      <c r="F8" s="8">
        <f t="shared" si="0"/>
        <v>6</v>
      </c>
    </row>
    <row r="9" spans="1:6" x14ac:dyDescent="0.25">
      <c r="A9" s="8">
        <v>4</v>
      </c>
      <c r="B9" s="9" t="s">
        <v>11</v>
      </c>
      <c r="C9" s="8">
        <v>13</v>
      </c>
      <c r="D9" s="8">
        <f>COUNTIF('Battery Space &amp; Install'!D5:D17,"?*")+COUNTIF('Battery Space &amp; Install'!D5:D17,"✔")</f>
        <v>0</v>
      </c>
      <c r="E9" s="8">
        <f>COUNTIF('Battery Space &amp; Install'!E5:E17,"?*")+COUNTIF('Battery Space &amp; Install'!E5:E17,"✔")</f>
        <v>0</v>
      </c>
      <c r="F9" s="8">
        <f t="shared" si="0"/>
        <v>13</v>
      </c>
    </row>
    <row r="10" spans="1:6" x14ac:dyDescent="0.25">
      <c r="A10" s="8">
        <v>5</v>
      </c>
      <c r="B10" s="9" t="s">
        <v>12</v>
      </c>
      <c r="C10" s="8">
        <v>17</v>
      </c>
      <c r="D10" s="8">
        <f>COUNTIF(Documentation!D5:D21,"?*")+COUNTIF(Documentation!D5:D21,"✔")</f>
        <v>0</v>
      </c>
      <c r="E10" s="8">
        <f>COUNTIF(Documentation!E5:E21,"?*")+COUNTIF(Documentation!E5:E21,"✔")</f>
        <v>0</v>
      </c>
      <c r="F10" s="8">
        <f t="shared" si="0"/>
        <v>17</v>
      </c>
    </row>
    <row r="11" spans="1:6" x14ac:dyDescent="0.25">
      <c r="A11" s="8">
        <v>6</v>
      </c>
      <c r="B11" s="9" t="s">
        <v>13</v>
      </c>
      <c r="C11" s="8">
        <v>11</v>
      </c>
      <c r="D11" s="8">
        <f>COUNTIF('Tests &amp; Certification'!D5:D15,"?*")+COUNTIF('Tests &amp; Certification'!D5:D15,"✔")</f>
        <v>0</v>
      </c>
      <c r="E11" s="8">
        <f>COUNTIF('Tests &amp; Certification'!E5:E15,"?*")+COUNTIF('Tests &amp; Certification'!E5:E15,"✔")</f>
        <v>0</v>
      </c>
      <c r="F11" s="8">
        <f t="shared" si="0"/>
        <v>11</v>
      </c>
    </row>
    <row r="12" spans="1:6" x14ac:dyDescent="0.25">
      <c r="A12" s="8">
        <v>7</v>
      </c>
      <c r="B12" s="9" t="s">
        <v>14</v>
      </c>
      <c r="C12" s="8">
        <v>28</v>
      </c>
      <c r="D12" s="8">
        <f>COUNTIF('Battery Tests'!D6:D11,"?*")+COUNTIF('Battery Tests'!D6:D11,"✔")+COUNTIF('Battery Tests'!D13:D20,"?*")+COUNTIF('Battery Tests'!D13:D20,"✔")+COUNTIF('Battery Tests'!D22:D28,"?*")+COUNTIF('Battery Tests'!D22:D28,"✔")+COUNTIF('Battery Tests'!D30:D36,"?*")+COUNTIF('Battery Tests'!D30:D36,"✔")</f>
        <v>0</v>
      </c>
      <c r="E12" s="8">
        <f>COUNTIF('Battery Tests'!E6:E11,"?*")+COUNTIF('Battery Tests'!E6:E11,"✔")+COUNTIF('Battery Tests'!E13:E20,"?*")+COUNTIF('Battery Tests'!E13:E20,"✔")+COUNTIF('Battery Tests'!E22:E28,"?*")+COUNTIF('Battery Tests'!E22:E28,"✔")+COUNTIF('Battery Tests'!E30:E36,"?*")+COUNTIF('Battery Tests'!E30:E36,"✔")</f>
        <v>0</v>
      </c>
      <c r="F12" s="8">
        <f t="shared" si="0"/>
        <v>28</v>
      </c>
    </row>
    <row r="13" spans="1:6" x14ac:dyDescent="0.25">
      <c r="A13" s="10"/>
      <c r="B13" s="11" t="s">
        <v>15</v>
      </c>
      <c r="C13" s="12">
        <f>SUM(C6:C12)</f>
        <v>94</v>
      </c>
      <c r="D13" s="12">
        <f>SUM(D6:D12)</f>
        <v>0</v>
      </c>
      <c r="E13" s="12">
        <f>SUM(E6:E12)</f>
        <v>0</v>
      </c>
      <c r="F13" s="12">
        <f>SUM(F6:F12)</f>
        <v>94</v>
      </c>
    </row>
    <row r="15" spans="1:6" ht="15" customHeight="1" x14ac:dyDescent="0.25">
      <c r="B15" s="4" t="s">
        <v>16</v>
      </c>
      <c r="C15" s="4"/>
      <c r="D15" s="4"/>
      <c r="E15" s="4"/>
      <c r="F15" s="4"/>
    </row>
    <row r="16" spans="1:6" x14ac:dyDescent="0.25">
      <c r="B16" s="4"/>
      <c r="C16" s="4"/>
      <c r="D16" s="4"/>
      <c r="E16" s="4"/>
      <c r="F16" s="4"/>
    </row>
    <row r="17" spans="2:6" x14ac:dyDescent="0.25">
      <c r="B17" s="4"/>
      <c r="C17" s="4"/>
      <c r="D17" s="4"/>
      <c r="E17" s="4"/>
      <c r="F17" s="4"/>
    </row>
    <row r="18" spans="2:6" x14ac:dyDescent="0.25">
      <c r="B18" s="4"/>
      <c r="C18" s="4"/>
      <c r="D18" s="4"/>
      <c r="E18" s="4"/>
      <c r="F18" s="4"/>
    </row>
    <row r="19" spans="2:6" x14ac:dyDescent="0.25">
      <c r="B19" s="4"/>
      <c r="C19" s="4"/>
      <c r="D19" s="4"/>
      <c r="E19" s="4"/>
      <c r="F19" s="4"/>
    </row>
    <row r="20" spans="2:6" x14ac:dyDescent="0.25">
      <c r="B20" s="4"/>
      <c r="C20" s="4"/>
      <c r="D20" s="4"/>
      <c r="E20" s="4"/>
      <c r="F20" s="4"/>
    </row>
    <row r="21" spans="2:6" x14ac:dyDescent="0.25">
      <c r="B21" s="4"/>
      <c r="C21" s="4"/>
      <c r="D21" s="4"/>
      <c r="E21" s="4"/>
      <c r="F21" s="4"/>
    </row>
  </sheetData>
  <mergeCells count="3">
    <mergeCell ref="B2:F2"/>
    <mergeCell ref="B3:F3"/>
    <mergeCell ref="B15:F2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
  <sheetViews>
    <sheetView zoomScaleNormal="100" workbookViewId="0">
      <pane ySplit="4" topLeftCell="A10" activePane="bottomLeft" state="frozen"/>
      <selection pane="bottomLeft" activeCell="B13" sqref="B13"/>
    </sheetView>
  </sheetViews>
  <sheetFormatPr defaultColWidth="8.7109375" defaultRowHeight="15" x14ac:dyDescent="0.25"/>
  <cols>
    <col min="1" max="1" width="9" customWidth="1"/>
    <col min="2" max="2" width="78" customWidth="1"/>
    <col min="3" max="3" width="14" customWidth="1"/>
    <col min="4" max="5" width="7" customWidth="1"/>
    <col min="6" max="6" width="50" customWidth="1"/>
  </cols>
  <sheetData>
    <row r="1" spans="1:6" ht="21.75" customHeight="1" x14ac:dyDescent="0.25">
      <c r="A1" s="3" t="s">
        <v>17</v>
      </c>
      <c r="B1" s="3"/>
      <c r="C1" s="3"/>
      <c r="D1" s="3"/>
      <c r="E1" s="3"/>
      <c r="F1" s="3"/>
    </row>
    <row r="2" spans="1:6" ht="45.75" customHeight="1" x14ac:dyDescent="0.25">
      <c r="A2" s="2" t="s">
        <v>18</v>
      </c>
      <c r="B2" s="2"/>
      <c r="C2" s="2"/>
      <c r="D2" s="2"/>
      <c r="E2" s="2"/>
      <c r="F2" s="2"/>
    </row>
    <row r="4" spans="1:6" ht="30" customHeight="1" x14ac:dyDescent="0.25">
      <c r="A4" s="7" t="s">
        <v>19</v>
      </c>
      <c r="B4" s="7" t="s">
        <v>20</v>
      </c>
      <c r="C4" s="7" t="s">
        <v>21</v>
      </c>
      <c r="D4" s="7" t="s">
        <v>22</v>
      </c>
      <c r="E4" s="7" t="s">
        <v>6</v>
      </c>
      <c r="F4" s="7" t="s">
        <v>23</v>
      </c>
    </row>
    <row r="5" spans="1:6" ht="63.75" x14ac:dyDescent="0.25">
      <c r="A5" s="12" t="s">
        <v>24</v>
      </c>
      <c r="B5" s="13" t="s">
        <v>25</v>
      </c>
      <c r="C5" s="8" t="s">
        <v>26</v>
      </c>
      <c r="D5" s="8"/>
      <c r="E5" s="8"/>
      <c r="F5" s="13"/>
    </row>
    <row r="6" spans="1:6" ht="51" x14ac:dyDescent="0.25">
      <c r="A6" s="14" t="s">
        <v>27</v>
      </c>
      <c r="B6" s="15" t="s">
        <v>28</v>
      </c>
      <c r="C6" s="16" t="s">
        <v>29</v>
      </c>
      <c r="D6" s="8"/>
      <c r="E6" s="8"/>
      <c r="F6" s="15"/>
    </row>
    <row r="7" spans="1:6" ht="51" x14ac:dyDescent="0.25">
      <c r="A7" s="12" t="s">
        <v>30</v>
      </c>
      <c r="B7" s="13" t="s">
        <v>31</v>
      </c>
      <c r="C7" s="8" t="s">
        <v>26</v>
      </c>
      <c r="D7" s="8"/>
      <c r="E7" s="8"/>
      <c r="F7" s="13"/>
    </row>
    <row r="8" spans="1:6" ht="76.5" x14ac:dyDescent="0.25">
      <c r="A8" s="14" t="s">
        <v>32</v>
      </c>
      <c r="B8" s="15" t="s">
        <v>33</v>
      </c>
      <c r="C8" s="16" t="s">
        <v>26</v>
      </c>
      <c r="D8" s="8"/>
      <c r="E8" s="8"/>
      <c r="F8" s="15"/>
    </row>
    <row r="9" spans="1:6" ht="63.75" x14ac:dyDescent="0.25">
      <c r="A9" s="12" t="s">
        <v>34</v>
      </c>
      <c r="B9" s="13" t="s">
        <v>35</v>
      </c>
      <c r="C9" s="8" t="s">
        <v>26</v>
      </c>
      <c r="D9" s="8"/>
      <c r="E9" s="8"/>
      <c r="F9" s="13"/>
    </row>
    <row r="10" spans="1:6" ht="38.25" x14ac:dyDescent="0.25">
      <c r="A10" s="14" t="s">
        <v>36</v>
      </c>
      <c r="B10" s="15" t="s">
        <v>37</v>
      </c>
      <c r="C10" s="16" t="s">
        <v>29</v>
      </c>
      <c r="D10" s="8"/>
      <c r="E10" s="8"/>
      <c r="F10" s="15"/>
    </row>
    <row r="11" spans="1:6" ht="63.75" x14ac:dyDescent="0.25">
      <c r="A11" s="12" t="s">
        <v>38</v>
      </c>
      <c r="B11" s="13" t="s">
        <v>39</v>
      </c>
      <c r="C11" s="8" t="s">
        <v>29</v>
      </c>
      <c r="D11" s="8"/>
      <c r="E11" s="8"/>
      <c r="F11" s="13"/>
    </row>
    <row r="12" spans="1:6" ht="51" x14ac:dyDescent="0.25">
      <c r="A12" s="14" t="s">
        <v>40</v>
      </c>
      <c r="B12" s="15" t="s">
        <v>41</v>
      </c>
      <c r="C12" s="16" t="s">
        <v>26</v>
      </c>
      <c r="D12" s="8"/>
      <c r="E12" s="8"/>
      <c r="F12" s="15"/>
    </row>
  </sheetData>
  <mergeCells count="2">
    <mergeCell ref="A1:F1"/>
    <mergeCell ref="A2:F2"/>
  </mergeCells>
  <conditionalFormatting sqref="D5:D12">
    <cfRule type="expression" dxfId="19" priority="2">
      <formula>LEN(TRIM(D5))&gt;0</formula>
    </cfRule>
  </conditionalFormatting>
  <conditionalFormatting sqref="E5:E12">
    <cfRule type="expression" dxfId="18" priority="3">
      <formula>LEN(TRIM(E5))&gt;0</formula>
    </cfRule>
  </conditionalFormatting>
  <dataValidations count="1">
    <dataValidation type="list" allowBlank="1" errorTitle="Tick with x or ✔" error="Put an x (or ✔) to tick. Leave blank if not applicable." sqref="D5:E12" xr:uid="{00000000-0002-0000-0100-000000000000}">
      <formula1>"x,✔"</formula1>
      <formula2>0</formula2>
    </dataValidation>
  </dataValidation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5"/>
  <sheetViews>
    <sheetView zoomScaleNormal="100" workbookViewId="0">
      <pane ySplit="4" topLeftCell="A13" activePane="bottomLeft" state="frozen"/>
      <selection pane="bottomLeft" activeCell="B17" sqref="B17"/>
    </sheetView>
  </sheetViews>
  <sheetFormatPr defaultColWidth="8.7109375" defaultRowHeight="15" x14ac:dyDescent="0.25"/>
  <cols>
    <col min="1" max="1" width="9" customWidth="1"/>
    <col min="2" max="2" width="78" customWidth="1"/>
    <col min="3" max="3" width="14" customWidth="1"/>
    <col min="4" max="5" width="7" customWidth="1"/>
    <col min="6" max="6" width="50" customWidth="1"/>
  </cols>
  <sheetData>
    <row r="1" spans="1:6" ht="21.75" customHeight="1" x14ac:dyDescent="0.25">
      <c r="A1" s="3" t="s">
        <v>42</v>
      </c>
      <c r="B1" s="3"/>
      <c r="C1" s="3"/>
      <c r="D1" s="3"/>
      <c r="E1" s="3"/>
      <c r="F1" s="3"/>
    </row>
    <row r="2" spans="1:6" ht="45.75" customHeight="1" x14ac:dyDescent="0.25">
      <c r="A2" s="2" t="s">
        <v>18</v>
      </c>
      <c r="B2" s="2"/>
      <c r="C2" s="2"/>
      <c r="D2" s="2"/>
      <c r="E2" s="2"/>
      <c r="F2" s="2"/>
    </row>
    <row r="4" spans="1:6" ht="30" customHeight="1" x14ac:dyDescent="0.25">
      <c r="A4" s="7" t="s">
        <v>19</v>
      </c>
      <c r="B4" s="7" t="s">
        <v>20</v>
      </c>
      <c r="C4" s="7" t="s">
        <v>21</v>
      </c>
      <c r="D4" s="7" t="s">
        <v>22</v>
      </c>
      <c r="E4" s="7" t="s">
        <v>6</v>
      </c>
      <c r="F4" s="7" t="s">
        <v>23</v>
      </c>
    </row>
    <row r="5" spans="1:6" ht="76.5" x14ac:dyDescent="0.25">
      <c r="A5" s="12" t="s">
        <v>43</v>
      </c>
      <c r="B5" s="13" t="s">
        <v>44</v>
      </c>
      <c r="C5" s="8" t="s">
        <v>26</v>
      </c>
      <c r="D5" s="8"/>
      <c r="E5" s="8"/>
      <c r="F5" s="13"/>
    </row>
    <row r="6" spans="1:6" ht="63.75" x14ac:dyDescent="0.25">
      <c r="A6" s="14" t="s">
        <v>45</v>
      </c>
      <c r="B6" s="15" t="s">
        <v>46</v>
      </c>
      <c r="C6" s="16" t="s">
        <v>26</v>
      </c>
      <c r="D6" s="8"/>
      <c r="E6" s="8"/>
      <c r="F6" s="15"/>
    </row>
    <row r="7" spans="1:6" ht="76.5" x14ac:dyDescent="0.25">
      <c r="A7" s="12" t="s">
        <v>47</v>
      </c>
      <c r="B7" s="13" t="s">
        <v>48</v>
      </c>
      <c r="C7" s="8" t="s">
        <v>26</v>
      </c>
      <c r="D7" s="8"/>
      <c r="E7" s="8"/>
      <c r="F7" s="13"/>
    </row>
    <row r="8" spans="1:6" ht="89.25" x14ac:dyDescent="0.25">
      <c r="A8" s="14" t="s">
        <v>49</v>
      </c>
      <c r="B8" s="15" t="s">
        <v>50</v>
      </c>
      <c r="C8" s="16" t="s">
        <v>26</v>
      </c>
      <c r="D8" s="8"/>
      <c r="E8" s="8"/>
      <c r="F8" s="15"/>
    </row>
    <row r="9" spans="1:6" ht="76.5" x14ac:dyDescent="0.25">
      <c r="A9" s="12" t="s">
        <v>51</v>
      </c>
      <c r="B9" s="13" t="s">
        <v>52</v>
      </c>
      <c r="C9" s="8" t="s">
        <v>26</v>
      </c>
      <c r="D9" s="8"/>
      <c r="E9" s="8"/>
      <c r="F9" s="13"/>
    </row>
    <row r="10" spans="1:6" ht="63.75" x14ac:dyDescent="0.25">
      <c r="A10" s="14" t="s">
        <v>53</v>
      </c>
      <c r="B10" s="15" t="s">
        <v>54</v>
      </c>
      <c r="C10" s="16" t="s">
        <v>26</v>
      </c>
      <c r="D10" s="8"/>
      <c r="E10" s="8"/>
      <c r="F10" s="15"/>
    </row>
    <row r="11" spans="1:6" ht="51" x14ac:dyDescent="0.25">
      <c r="A11" s="12" t="s">
        <v>55</v>
      </c>
      <c r="B11" s="13" t="s">
        <v>56</v>
      </c>
      <c r="C11" s="8" t="s">
        <v>26</v>
      </c>
      <c r="D11" s="8"/>
      <c r="E11" s="8"/>
      <c r="F11" s="13"/>
    </row>
    <row r="12" spans="1:6" ht="51" x14ac:dyDescent="0.25">
      <c r="A12" s="14" t="s">
        <v>57</v>
      </c>
      <c r="B12" s="15" t="s">
        <v>58</v>
      </c>
      <c r="C12" s="16" t="s">
        <v>26</v>
      </c>
      <c r="D12" s="8"/>
      <c r="E12" s="8"/>
      <c r="F12" s="15"/>
    </row>
    <row r="13" spans="1:6" ht="51" x14ac:dyDescent="0.25">
      <c r="A13" s="12" t="s">
        <v>59</v>
      </c>
      <c r="B13" s="13" t="s">
        <v>60</v>
      </c>
      <c r="C13" s="8" t="s">
        <v>26</v>
      </c>
      <c r="D13" s="8"/>
      <c r="E13" s="8"/>
      <c r="F13" s="13"/>
    </row>
    <row r="14" spans="1:6" ht="51" x14ac:dyDescent="0.25">
      <c r="A14" s="14" t="s">
        <v>61</v>
      </c>
      <c r="B14" s="15" t="s">
        <v>62</v>
      </c>
      <c r="C14" s="16" t="s">
        <v>26</v>
      </c>
      <c r="D14" s="8"/>
      <c r="E14" s="8"/>
      <c r="F14" s="15"/>
    </row>
    <row r="15" spans="1:6" ht="63.75" x14ac:dyDescent="0.25">
      <c r="A15" s="12" t="s">
        <v>63</v>
      </c>
      <c r="B15" s="13" t="s">
        <v>64</v>
      </c>
      <c r="C15" s="8" t="s">
        <v>29</v>
      </c>
      <c r="D15" s="8"/>
      <c r="E15" s="8"/>
      <c r="F15" s="13"/>
    </row>
  </sheetData>
  <mergeCells count="2">
    <mergeCell ref="A1:F1"/>
    <mergeCell ref="A2:F2"/>
  </mergeCells>
  <conditionalFormatting sqref="D5:D15">
    <cfRule type="expression" dxfId="17" priority="2">
      <formula>LEN(TRIM(D5))&gt;0</formula>
    </cfRule>
  </conditionalFormatting>
  <conditionalFormatting sqref="E5:E15">
    <cfRule type="expression" dxfId="16" priority="3">
      <formula>LEN(TRIM(E5))&gt;0</formula>
    </cfRule>
  </conditionalFormatting>
  <dataValidations count="1">
    <dataValidation type="list" allowBlank="1" errorTitle="Tick with x or ✔" error="Put an x (or ✔) to tick. Leave blank if not applicable." sqref="D5:E15" xr:uid="{00000000-0002-0000-0200-000000000000}">
      <formula1>"x,✔"</formula1>
      <formula2>0</formula2>
    </dataValidation>
  </dataValidations>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10"/>
  <sheetViews>
    <sheetView zoomScaleNormal="100" workbookViewId="0">
      <pane ySplit="4" topLeftCell="A7" activePane="bottomLeft" state="frozen"/>
      <selection pane="bottomLeft" activeCell="B13" sqref="B13"/>
    </sheetView>
  </sheetViews>
  <sheetFormatPr defaultColWidth="8.7109375" defaultRowHeight="15" x14ac:dyDescent="0.25"/>
  <cols>
    <col min="1" max="1" width="9" customWidth="1"/>
    <col min="2" max="2" width="78" customWidth="1"/>
    <col min="3" max="3" width="14" customWidth="1"/>
    <col min="4" max="5" width="7" customWidth="1"/>
    <col min="6" max="6" width="50" customWidth="1"/>
  </cols>
  <sheetData>
    <row r="1" spans="1:6" ht="21.75" customHeight="1" x14ac:dyDescent="0.25">
      <c r="A1" s="3" t="s">
        <v>65</v>
      </c>
      <c r="B1" s="3"/>
      <c r="C1" s="3"/>
      <c r="D1" s="3"/>
      <c r="E1" s="3"/>
      <c r="F1" s="3"/>
    </row>
    <row r="2" spans="1:6" ht="45.75" customHeight="1" x14ac:dyDescent="0.25">
      <c r="A2" s="2" t="s">
        <v>18</v>
      </c>
      <c r="B2" s="2"/>
      <c r="C2" s="2"/>
      <c r="D2" s="2"/>
      <c r="E2" s="2"/>
      <c r="F2" s="2"/>
    </row>
    <row r="4" spans="1:6" ht="30" customHeight="1" x14ac:dyDescent="0.25">
      <c r="A4" s="7" t="s">
        <v>19</v>
      </c>
      <c r="B4" s="7" t="s">
        <v>20</v>
      </c>
      <c r="C4" s="7" t="s">
        <v>21</v>
      </c>
      <c r="D4" s="7" t="s">
        <v>22</v>
      </c>
      <c r="E4" s="7" t="s">
        <v>6</v>
      </c>
      <c r="F4" s="7" t="s">
        <v>23</v>
      </c>
    </row>
    <row r="5" spans="1:6" ht="38.25" x14ac:dyDescent="0.25">
      <c r="A5" s="12" t="s">
        <v>66</v>
      </c>
      <c r="B5" s="13" t="s">
        <v>67</v>
      </c>
      <c r="C5" s="8" t="s">
        <v>26</v>
      </c>
      <c r="D5" s="8"/>
      <c r="E5" s="8"/>
      <c r="F5" s="13"/>
    </row>
    <row r="6" spans="1:6" ht="38.25" x14ac:dyDescent="0.25">
      <c r="A6" s="14" t="s">
        <v>68</v>
      </c>
      <c r="B6" s="15" t="s">
        <v>69</v>
      </c>
      <c r="C6" s="16" t="s">
        <v>26</v>
      </c>
      <c r="D6" s="8"/>
      <c r="E6" s="8"/>
      <c r="F6" s="15"/>
    </row>
    <row r="7" spans="1:6" ht="38.25" x14ac:dyDescent="0.25">
      <c r="A7" s="12" t="s">
        <v>70</v>
      </c>
      <c r="B7" s="13" t="s">
        <v>71</v>
      </c>
      <c r="C7" s="8" t="s">
        <v>26</v>
      </c>
      <c r="D7" s="8"/>
      <c r="E7" s="8"/>
      <c r="F7" s="13"/>
    </row>
    <row r="8" spans="1:6" ht="25.5" x14ac:dyDescent="0.25">
      <c r="A8" s="14" t="s">
        <v>72</v>
      </c>
      <c r="B8" s="15" t="s">
        <v>73</v>
      </c>
      <c r="C8" s="16" t="s">
        <v>26</v>
      </c>
      <c r="D8" s="8"/>
      <c r="E8" s="8"/>
      <c r="F8" s="15"/>
    </row>
    <row r="9" spans="1:6" ht="38.25" x14ac:dyDescent="0.25">
      <c r="A9" s="12" t="s">
        <v>74</v>
      </c>
      <c r="B9" s="13" t="s">
        <v>75</v>
      </c>
      <c r="C9" s="8" t="s">
        <v>29</v>
      </c>
      <c r="D9" s="8"/>
      <c r="E9" s="8"/>
      <c r="F9" s="13"/>
    </row>
    <row r="10" spans="1:6" ht="38.25" x14ac:dyDescent="0.25">
      <c r="A10" s="14" t="s">
        <v>76</v>
      </c>
      <c r="B10" s="15" t="s">
        <v>77</v>
      </c>
      <c r="C10" s="16" t="s">
        <v>26</v>
      </c>
      <c r="D10" s="8"/>
      <c r="E10" s="8"/>
      <c r="F10" s="15"/>
    </row>
  </sheetData>
  <mergeCells count="2">
    <mergeCell ref="A1:F1"/>
    <mergeCell ref="A2:F2"/>
  </mergeCells>
  <conditionalFormatting sqref="D5:D10">
    <cfRule type="expression" dxfId="15" priority="2">
      <formula>LEN(TRIM(D5))&gt;0</formula>
    </cfRule>
  </conditionalFormatting>
  <conditionalFormatting sqref="E5:E10">
    <cfRule type="expression" dxfId="14" priority="3">
      <formula>LEN(TRIM(E5))&gt;0</formula>
    </cfRule>
  </conditionalFormatting>
  <dataValidations count="1">
    <dataValidation type="list" allowBlank="1" errorTitle="Tick with x or ✔" error="Put an x (or ✔) to tick. Leave blank if not applicable." sqref="D5:E10" xr:uid="{00000000-0002-0000-0300-000000000000}">
      <formula1>"x,✔"</formula1>
      <formula2>0</formula2>
    </dataValidation>
  </dataValidations>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17"/>
  <sheetViews>
    <sheetView zoomScaleNormal="100" workbookViewId="0">
      <pane ySplit="4" topLeftCell="A5" activePane="bottomLeft" state="frozen"/>
      <selection pane="bottomLeft" sqref="A1:F1"/>
    </sheetView>
  </sheetViews>
  <sheetFormatPr defaultColWidth="8.7109375" defaultRowHeight="15" x14ac:dyDescent="0.25"/>
  <cols>
    <col min="1" max="1" width="9" customWidth="1"/>
    <col min="2" max="2" width="78" customWidth="1"/>
    <col min="3" max="3" width="14" customWidth="1"/>
    <col min="4" max="5" width="7" customWidth="1"/>
    <col min="6" max="6" width="50" customWidth="1"/>
  </cols>
  <sheetData>
    <row r="1" spans="1:6" ht="21.75" customHeight="1" x14ac:dyDescent="0.25">
      <c r="A1" s="3" t="s">
        <v>78</v>
      </c>
      <c r="B1" s="3"/>
      <c r="C1" s="3"/>
      <c r="D1" s="3"/>
      <c r="E1" s="3"/>
      <c r="F1" s="3"/>
    </row>
    <row r="2" spans="1:6" ht="45.75" customHeight="1" x14ac:dyDescent="0.25">
      <c r="A2" s="2" t="s">
        <v>18</v>
      </c>
      <c r="B2" s="2"/>
      <c r="C2" s="2"/>
      <c r="D2" s="2"/>
      <c r="E2" s="2"/>
      <c r="F2" s="2"/>
    </row>
    <row r="4" spans="1:6" ht="30" customHeight="1" x14ac:dyDescent="0.25">
      <c r="A4" s="7" t="s">
        <v>19</v>
      </c>
      <c r="B4" s="7" t="s">
        <v>20</v>
      </c>
      <c r="C4" s="7" t="s">
        <v>21</v>
      </c>
      <c r="D4" s="7" t="s">
        <v>22</v>
      </c>
      <c r="E4" s="7" t="s">
        <v>6</v>
      </c>
      <c r="F4" s="7" t="s">
        <v>23</v>
      </c>
    </row>
    <row r="5" spans="1:6" ht="51" x14ac:dyDescent="0.25">
      <c r="A5" s="12" t="s">
        <v>79</v>
      </c>
      <c r="B5" s="13" t="s">
        <v>80</v>
      </c>
      <c r="C5" s="8" t="s">
        <v>29</v>
      </c>
      <c r="D5" s="8"/>
      <c r="E5" s="8"/>
      <c r="F5" s="13"/>
    </row>
    <row r="6" spans="1:6" ht="63.75" x14ac:dyDescent="0.25">
      <c r="A6" s="14" t="s">
        <v>81</v>
      </c>
      <c r="B6" s="15" t="s">
        <v>82</v>
      </c>
      <c r="C6" s="16" t="s">
        <v>83</v>
      </c>
      <c r="D6" s="8"/>
      <c r="E6" s="8"/>
      <c r="F6" s="15"/>
    </row>
    <row r="7" spans="1:6" ht="51" x14ac:dyDescent="0.25">
      <c r="A7" s="12" t="s">
        <v>84</v>
      </c>
      <c r="B7" s="13" t="s">
        <v>85</v>
      </c>
      <c r="C7" s="8" t="s">
        <v>83</v>
      </c>
      <c r="D7" s="8"/>
      <c r="E7" s="8"/>
      <c r="F7" s="13"/>
    </row>
    <row r="8" spans="1:6" ht="63.75" x14ac:dyDescent="0.25">
      <c r="A8" s="14" t="s">
        <v>86</v>
      </c>
      <c r="B8" s="15" t="s">
        <v>87</v>
      </c>
      <c r="C8" s="16" t="s">
        <v>26</v>
      </c>
      <c r="D8" s="8"/>
      <c r="E8" s="8"/>
      <c r="F8" s="15"/>
    </row>
    <row r="9" spans="1:6" ht="63.75" x14ac:dyDescent="0.25">
      <c r="A9" s="12" t="s">
        <v>88</v>
      </c>
      <c r="B9" s="13" t="s">
        <v>89</v>
      </c>
      <c r="C9" s="8" t="s">
        <v>29</v>
      </c>
      <c r="D9" s="8"/>
      <c r="E9" s="8"/>
      <c r="F9" s="13"/>
    </row>
    <row r="10" spans="1:6" ht="38.25" x14ac:dyDescent="0.25">
      <c r="A10" s="14" t="s">
        <v>90</v>
      </c>
      <c r="B10" s="15" t="s">
        <v>91</v>
      </c>
      <c r="C10" s="16" t="s">
        <v>83</v>
      </c>
      <c r="D10" s="8"/>
      <c r="E10" s="8"/>
      <c r="F10" s="15"/>
    </row>
    <row r="11" spans="1:6" ht="102" x14ac:dyDescent="0.25">
      <c r="A11" s="12" t="s">
        <v>92</v>
      </c>
      <c r="B11" s="13" t="s">
        <v>93</v>
      </c>
      <c r="C11" s="8" t="s">
        <v>29</v>
      </c>
      <c r="D11" s="8"/>
      <c r="E11" s="8"/>
      <c r="F11" s="13"/>
    </row>
    <row r="12" spans="1:6" ht="89.25" x14ac:dyDescent="0.25">
      <c r="A12" s="14" t="s">
        <v>94</v>
      </c>
      <c r="B12" s="15" t="s">
        <v>95</v>
      </c>
      <c r="C12" s="16" t="s">
        <v>83</v>
      </c>
      <c r="D12" s="8"/>
      <c r="E12" s="8"/>
      <c r="F12" s="15"/>
    </row>
    <row r="13" spans="1:6" ht="63.75" x14ac:dyDescent="0.25">
      <c r="A13" s="12" t="s">
        <v>96</v>
      </c>
      <c r="B13" s="13" t="s">
        <v>97</v>
      </c>
      <c r="C13" s="8" t="s">
        <v>83</v>
      </c>
      <c r="D13" s="8"/>
      <c r="E13" s="8"/>
      <c r="F13" s="13"/>
    </row>
    <row r="14" spans="1:6" ht="63.75" x14ac:dyDescent="0.25">
      <c r="A14" s="14" t="s">
        <v>98</v>
      </c>
      <c r="B14" s="15" t="s">
        <v>99</v>
      </c>
      <c r="C14" s="16" t="s">
        <v>83</v>
      </c>
      <c r="D14" s="8"/>
      <c r="E14" s="8"/>
      <c r="F14" s="15"/>
    </row>
    <row r="15" spans="1:6" ht="38.25" x14ac:dyDescent="0.25">
      <c r="A15" s="12" t="s">
        <v>100</v>
      </c>
      <c r="B15" s="13" t="s">
        <v>101</v>
      </c>
      <c r="C15" s="8" t="s">
        <v>83</v>
      </c>
      <c r="D15" s="8"/>
      <c r="E15" s="8"/>
      <c r="F15" s="13"/>
    </row>
    <row r="16" spans="1:6" ht="76.5" x14ac:dyDescent="0.25">
      <c r="A16" s="14" t="s">
        <v>102</v>
      </c>
      <c r="B16" s="15" t="s">
        <v>103</v>
      </c>
      <c r="C16" s="16" t="s">
        <v>83</v>
      </c>
      <c r="D16" s="8"/>
      <c r="E16" s="8"/>
      <c r="F16" s="15"/>
    </row>
    <row r="17" spans="1:6" ht="63.75" x14ac:dyDescent="0.25">
      <c r="A17" s="12" t="s">
        <v>104</v>
      </c>
      <c r="B17" s="13" t="s">
        <v>105</v>
      </c>
      <c r="C17" s="8" t="s">
        <v>29</v>
      </c>
      <c r="D17" s="8"/>
      <c r="E17" s="8"/>
      <c r="F17" s="13"/>
    </row>
  </sheetData>
  <mergeCells count="2">
    <mergeCell ref="A1:F1"/>
    <mergeCell ref="A2:F2"/>
  </mergeCells>
  <conditionalFormatting sqref="D5:D17">
    <cfRule type="expression" dxfId="13" priority="2">
      <formula>LEN(TRIM(D5))&gt;0</formula>
    </cfRule>
  </conditionalFormatting>
  <conditionalFormatting sqref="E5:E17">
    <cfRule type="expression" dxfId="12" priority="3">
      <formula>LEN(TRIM(E5))&gt;0</formula>
    </cfRule>
  </conditionalFormatting>
  <dataValidations count="1">
    <dataValidation type="list" allowBlank="1" errorTitle="Tick with x or ✔" error="Put an x (or ✔) to tick. Leave blank if not applicable." sqref="D5:E17" xr:uid="{00000000-0002-0000-0400-000000000000}">
      <formula1>"x,✔"</formula1>
      <formula2>0</formula2>
    </dataValidation>
  </dataValidations>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21"/>
  <sheetViews>
    <sheetView zoomScaleNormal="100" workbookViewId="0">
      <pane ySplit="4" topLeftCell="A5" activePane="bottomLeft" state="frozen"/>
      <selection pane="bottomLeft" sqref="A1:F1"/>
    </sheetView>
  </sheetViews>
  <sheetFormatPr defaultColWidth="8.7109375" defaultRowHeight="15" x14ac:dyDescent="0.25"/>
  <cols>
    <col min="1" max="1" width="9" customWidth="1"/>
    <col min="2" max="2" width="78" customWidth="1"/>
    <col min="3" max="3" width="14" customWidth="1"/>
    <col min="4" max="5" width="7" customWidth="1"/>
    <col min="6" max="6" width="50" customWidth="1"/>
  </cols>
  <sheetData>
    <row r="1" spans="1:6" ht="21.75" customHeight="1" x14ac:dyDescent="0.25">
      <c r="A1" s="3" t="s">
        <v>106</v>
      </c>
      <c r="B1" s="3"/>
      <c r="C1" s="3"/>
      <c r="D1" s="3"/>
      <c r="E1" s="3"/>
      <c r="F1" s="3"/>
    </row>
    <row r="2" spans="1:6" ht="45.75" customHeight="1" x14ac:dyDescent="0.25">
      <c r="A2" s="2" t="s">
        <v>18</v>
      </c>
      <c r="B2" s="2"/>
      <c r="C2" s="2"/>
      <c r="D2" s="2"/>
      <c r="E2" s="2"/>
      <c r="F2" s="2"/>
    </row>
    <row r="4" spans="1:6" ht="30" customHeight="1" x14ac:dyDescent="0.25">
      <c r="A4" s="7" t="s">
        <v>19</v>
      </c>
      <c r="B4" s="7" t="s">
        <v>20</v>
      </c>
      <c r="C4" s="7" t="s">
        <v>21</v>
      </c>
      <c r="D4" s="7" t="s">
        <v>22</v>
      </c>
      <c r="E4" s="7" t="s">
        <v>6</v>
      </c>
      <c r="F4" s="7" t="s">
        <v>23</v>
      </c>
    </row>
    <row r="5" spans="1:6" ht="38.25" x14ac:dyDescent="0.25">
      <c r="A5" s="12" t="s">
        <v>107</v>
      </c>
      <c r="B5" s="13" t="s">
        <v>108</v>
      </c>
      <c r="C5" s="8" t="s">
        <v>26</v>
      </c>
      <c r="D5" s="8"/>
      <c r="E5" s="8"/>
      <c r="F5" s="13"/>
    </row>
    <row r="6" spans="1:6" ht="38.25" x14ac:dyDescent="0.25">
      <c r="A6" s="14" t="s">
        <v>109</v>
      </c>
      <c r="B6" s="15" t="s">
        <v>110</v>
      </c>
      <c r="C6" s="16" t="s">
        <v>26</v>
      </c>
      <c r="D6" s="8"/>
      <c r="E6" s="8"/>
      <c r="F6" s="15"/>
    </row>
    <row r="7" spans="1:6" ht="51" x14ac:dyDescent="0.25">
      <c r="A7" s="12" t="s">
        <v>111</v>
      </c>
      <c r="B7" s="13" t="s">
        <v>112</v>
      </c>
      <c r="C7" s="8" t="s">
        <v>26</v>
      </c>
      <c r="D7" s="8"/>
      <c r="E7" s="8"/>
      <c r="F7" s="13"/>
    </row>
    <row r="8" spans="1:6" ht="63.75" x14ac:dyDescent="0.25">
      <c r="A8" s="14" t="s">
        <v>113</v>
      </c>
      <c r="B8" s="15" t="s">
        <v>114</v>
      </c>
      <c r="C8" s="16" t="s">
        <v>26</v>
      </c>
      <c r="D8" s="8"/>
      <c r="E8" s="8"/>
      <c r="F8" s="15"/>
    </row>
    <row r="9" spans="1:6" ht="38.25" x14ac:dyDescent="0.25">
      <c r="A9" s="12" t="s">
        <v>115</v>
      </c>
      <c r="B9" s="13" t="s">
        <v>116</v>
      </c>
      <c r="C9" s="8" t="s">
        <v>26</v>
      </c>
      <c r="D9" s="8"/>
      <c r="E9" s="8"/>
      <c r="F9" s="13"/>
    </row>
    <row r="10" spans="1:6" ht="51" x14ac:dyDescent="0.25">
      <c r="A10" s="14" t="s">
        <v>117</v>
      </c>
      <c r="B10" s="15" t="s">
        <v>118</v>
      </c>
      <c r="C10" s="16" t="s">
        <v>26</v>
      </c>
      <c r="D10" s="8"/>
      <c r="E10" s="8"/>
      <c r="F10" s="15"/>
    </row>
    <row r="11" spans="1:6" ht="25.5" x14ac:dyDescent="0.25">
      <c r="A11" s="12" t="s">
        <v>119</v>
      </c>
      <c r="B11" s="13" t="s">
        <v>120</v>
      </c>
      <c r="C11" s="8" t="s">
        <v>26</v>
      </c>
      <c r="D11" s="8"/>
      <c r="E11" s="8"/>
      <c r="F11" s="13"/>
    </row>
    <row r="12" spans="1:6" ht="51" x14ac:dyDescent="0.25">
      <c r="A12" s="14" t="s">
        <v>121</v>
      </c>
      <c r="B12" s="15" t="s">
        <v>122</v>
      </c>
      <c r="C12" s="16" t="s">
        <v>29</v>
      </c>
      <c r="D12" s="8"/>
      <c r="E12" s="8"/>
      <c r="F12" s="15"/>
    </row>
    <row r="13" spans="1:6" x14ac:dyDescent="0.25">
      <c r="A13" s="12" t="s">
        <v>123</v>
      </c>
      <c r="B13" s="13" t="s">
        <v>124</v>
      </c>
      <c r="C13" s="8" t="s">
        <v>26</v>
      </c>
      <c r="D13" s="8"/>
      <c r="E13" s="8"/>
      <c r="F13" s="13"/>
    </row>
    <row r="14" spans="1:6" x14ac:dyDescent="0.25">
      <c r="A14" s="14" t="s">
        <v>125</v>
      </c>
      <c r="B14" s="15" t="s">
        <v>126</v>
      </c>
      <c r="C14" s="16" t="s">
        <v>26</v>
      </c>
      <c r="D14" s="8"/>
      <c r="E14" s="8"/>
      <c r="F14" s="15"/>
    </row>
    <row r="15" spans="1:6" ht="25.5" x14ac:dyDescent="0.25">
      <c r="A15" s="12" t="s">
        <v>127</v>
      </c>
      <c r="B15" s="13" t="s">
        <v>128</v>
      </c>
      <c r="C15" s="8" t="s">
        <v>26</v>
      </c>
      <c r="D15" s="8"/>
      <c r="E15" s="8"/>
      <c r="F15" s="13"/>
    </row>
    <row r="16" spans="1:6" ht="25.5" x14ac:dyDescent="0.25">
      <c r="A16" s="14" t="s">
        <v>129</v>
      </c>
      <c r="B16" s="15" t="s">
        <v>130</v>
      </c>
      <c r="C16" s="16" t="s">
        <v>26</v>
      </c>
      <c r="D16" s="8"/>
      <c r="E16" s="8"/>
      <c r="F16" s="15"/>
    </row>
    <row r="17" spans="1:6" x14ac:dyDescent="0.25">
      <c r="A17" s="12" t="s">
        <v>131</v>
      </c>
      <c r="B17" s="13" t="s">
        <v>132</v>
      </c>
      <c r="C17" s="8" t="s">
        <v>26</v>
      </c>
      <c r="D17" s="8"/>
      <c r="E17" s="8"/>
      <c r="F17" s="13"/>
    </row>
    <row r="18" spans="1:6" ht="89.25" x14ac:dyDescent="0.25">
      <c r="A18" s="14" t="s">
        <v>133</v>
      </c>
      <c r="B18" s="15" t="s">
        <v>134</v>
      </c>
      <c r="C18" s="16" t="s">
        <v>29</v>
      </c>
      <c r="D18" s="8"/>
      <c r="E18" s="8"/>
      <c r="F18" s="15"/>
    </row>
    <row r="19" spans="1:6" ht="89.25" x14ac:dyDescent="0.25">
      <c r="A19" s="12" t="s">
        <v>135</v>
      </c>
      <c r="B19" s="13" t="s">
        <v>136</v>
      </c>
      <c r="C19" s="8" t="s">
        <v>29</v>
      </c>
      <c r="D19" s="8"/>
      <c r="E19" s="8"/>
      <c r="F19" s="13"/>
    </row>
    <row r="20" spans="1:6" ht="63.75" x14ac:dyDescent="0.25">
      <c r="A20" s="14" t="s">
        <v>137</v>
      </c>
      <c r="B20" s="15" t="s">
        <v>138</v>
      </c>
      <c r="C20" s="16" t="s">
        <v>26</v>
      </c>
      <c r="D20" s="8"/>
      <c r="E20" s="8"/>
      <c r="F20" s="15"/>
    </row>
    <row r="21" spans="1:6" ht="38.25" x14ac:dyDescent="0.25">
      <c r="A21" s="12" t="s">
        <v>139</v>
      </c>
      <c r="B21" s="13" t="s">
        <v>140</v>
      </c>
      <c r="C21" s="8" t="s">
        <v>29</v>
      </c>
      <c r="D21" s="8"/>
      <c r="E21" s="8"/>
      <c r="F21" s="13"/>
    </row>
  </sheetData>
  <mergeCells count="2">
    <mergeCell ref="A1:F1"/>
    <mergeCell ref="A2:F2"/>
  </mergeCells>
  <conditionalFormatting sqref="D5:D21">
    <cfRule type="expression" dxfId="11" priority="2">
      <formula>LEN(TRIM(D5))&gt;0</formula>
    </cfRule>
  </conditionalFormatting>
  <conditionalFormatting sqref="E5:E21">
    <cfRule type="expression" dxfId="10" priority="3">
      <formula>LEN(TRIM(E5))&gt;0</formula>
    </cfRule>
  </conditionalFormatting>
  <dataValidations count="1">
    <dataValidation type="list" allowBlank="1" errorTitle="Tick with x or ✔" error="Put an x (or ✔) to tick. Leave blank if not applicable." sqref="D5:E21" xr:uid="{00000000-0002-0000-0500-000000000000}">
      <formula1>"x,✔"</formula1>
      <formula2>0</formula2>
    </dataValidation>
  </dataValidations>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15"/>
  <sheetViews>
    <sheetView zoomScaleNormal="100" workbookViewId="0">
      <pane ySplit="4" topLeftCell="A5" activePane="bottomLeft" state="frozen"/>
      <selection pane="bottomLeft" activeCell="B5" sqref="B5"/>
    </sheetView>
  </sheetViews>
  <sheetFormatPr defaultColWidth="8.7109375" defaultRowHeight="15" x14ac:dyDescent="0.25"/>
  <cols>
    <col min="1" max="1" width="9" customWidth="1"/>
    <col min="2" max="2" width="78" customWidth="1"/>
    <col min="3" max="3" width="14" customWidth="1"/>
    <col min="4" max="5" width="7" customWidth="1"/>
    <col min="6" max="6" width="50" customWidth="1"/>
  </cols>
  <sheetData>
    <row r="1" spans="1:6" ht="21.75" customHeight="1" x14ac:dyDescent="0.25">
      <c r="A1" s="3" t="s">
        <v>141</v>
      </c>
      <c r="B1" s="3"/>
      <c r="C1" s="3"/>
      <c r="D1" s="3"/>
      <c r="E1" s="3"/>
      <c r="F1" s="3"/>
    </row>
    <row r="2" spans="1:6" ht="45.75" customHeight="1" x14ac:dyDescent="0.25">
      <c r="A2" s="2" t="s">
        <v>18</v>
      </c>
      <c r="B2" s="2"/>
      <c r="C2" s="2"/>
      <c r="D2" s="2"/>
      <c r="E2" s="2"/>
      <c r="F2" s="2"/>
    </row>
    <row r="4" spans="1:6" ht="30" customHeight="1" x14ac:dyDescent="0.25">
      <c r="A4" s="7" t="s">
        <v>19</v>
      </c>
      <c r="B4" s="7" t="s">
        <v>20</v>
      </c>
      <c r="C4" s="7" t="s">
        <v>21</v>
      </c>
      <c r="D4" s="7" t="s">
        <v>22</v>
      </c>
      <c r="E4" s="7" t="s">
        <v>6</v>
      </c>
      <c r="F4" s="7" t="s">
        <v>23</v>
      </c>
    </row>
    <row r="5" spans="1:6" ht="51" x14ac:dyDescent="0.25">
      <c r="A5" s="12" t="s">
        <v>142</v>
      </c>
      <c r="B5" s="13" t="s">
        <v>143</v>
      </c>
      <c r="C5" s="8" t="s">
        <v>26</v>
      </c>
      <c r="D5" s="8"/>
      <c r="E5" s="8"/>
      <c r="F5" s="13"/>
    </row>
    <row r="6" spans="1:6" ht="63.75" x14ac:dyDescent="0.25">
      <c r="A6" s="14" t="s">
        <v>144</v>
      </c>
      <c r="B6" s="15" t="s">
        <v>145</v>
      </c>
      <c r="C6" s="16" t="s">
        <v>26</v>
      </c>
      <c r="D6" s="8"/>
      <c r="E6" s="8"/>
      <c r="F6" s="15"/>
    </row>
    <row r="7" spans="1:6" ht="63.75" x14ac:dyDescent="0.25">
      <c r="A7" s="12" t="s">
        <v>146</v>
      </c>
      <c r="B7" s="13" t="s">
        <v>147</v>
      </c>
      <c r="C7" s="8" t="s">
        <v>26</v>
      </c>
      <c r="D7" s="8"/>
      <c r="E7" s="8"/>
      <c r="F7" s="13"/>
    </row>
    <row r="8" spans="1:6" ht="51" x14ac:dyDescent="0.25">
      <c r="A8" s="14" t="s">
        <v>148</v>
      </c>
      <c r="B8" s="15" t="s">
        <v>149</v>
      </c>
      <c r="C8" s="16" t="s">
        <v>26</v>
      </c>
      <c r="D8" s="8"/>
      <c r="E8" s="8"/>
      <c r="F8" s="15"/>
    </row>
    <row r="9" spans="1:6" ht="51" x14ac:dyDescent="0.25">
      <c r="A9" s="12" t="s">
        <v>150</v>
      </c>
      <c r="B9" s="13" t="s">
        <v>151</v>
      </c>
      <c r="C9" s="8" t="s">
        <v>26</v>
      </c>
      <c r="D9" s="8"/>
      <c r="E9" s="8"/>
      <c r="F9" s="13"/>
    </row>
    <row r="10" spans="1:6" ht="63.75" x14ac:dyDescent="0.25">
      <c r="A10" s="14" t="s">
        <v>152</v>
      </c>
      <c r="B10" s="15" t="s">
        <v>153</v>
      </c>
      <c r="C10" s="16" t="s">
        <v>26</v>
      </c>
      <c r="D10" s="8"/>
      <c r="E10" s="8"/>
      <c r="F10" s="15"/>
    </row>
    <row r="11" spans="1:6" ht="51" x14ac:dyDescent="0.25">
      <c r="A11" s="12" t="s">
        <v>154</v>
      </c>
      <c r="B11" s="13" t="s">
        <v>155</v>
      </c>
      <c r="C11" s="8" t="s">
        <v>29</v>
      </c>
      <c r="D11" s="8"/>
      <c r="E11" s="8"/>
      <c r="F11" s="13"/>
    </row>
    <row r="12" spans="1:6" ht="51" x14ac:dyDescent="0.25">
      <c r="A12" s="14" t="s">
        <v>156</v>
      </c>
      <c r="B12" s="15" t="s">
        <v>157</v>
      </c>
      <c r="C12" s="16" t="s">
        <v>26</v>
      </c>
      <c r="D12" s="8"/>
      <c r="E12" s="8"/>
      <c r="F12" s="15"/>
    </row>
    <row r="13" spans="1:6" ht="51" x14ac:dyDescent="0.25">
      <c r="A13" s="12" t="s">
        <v>158</v>
      </c>
      <c r="B13" s="13" t="s">
        <v>159</v>
      </c>
      <c r="C13" s="8" t="s">
        <v>29</v>
      </c>
      <c r="D13" s="8"/>
      <c r="E13" s="8"/>
      <c r="F13" s="13"/>
    </row>
    <row r="14" spans="1:6" ht="76.5" x14ac:dyDescent="0.25">
      <c r="A14" s="14" t="s">
        <v>160</v>
      </c>
      <c r="B14" s="15" t="s">
        <v>161</v>
      </c>
      <c r="C14" s="16" t="s">
        <v>29</v>
      </c>
      <c r="D14" s="8"/>
      <c r="E14" s="8"/>
      <c r="F14" s="15"/>
    </row>
    <row r="15" spans="1:6" ht="76.5" x14ac:dyDescent="0.25">
      <c r="A15" s="12" t="s">
        <v>162</v>
      </c>
      <c r="B15" s="13" t="s">
        <v>163</v>
      </c>
      <c r="C15" s="8" t="s">
        <v>83</v>
      </c>
      <c r="D15" s="8"/>
      <c r="E15" s="8"/>
      <c r="F15" s="13"/>
    </row>
  </sheetData>
  <mergeCells count="2">
    <mergeCell ref="A1:F1"/>
    <mergeCell ref="A2:F2"/>
  </mergeCells>
  <conditionalFormatting sqref="D5:D15">
    <cfRule type="expression" dxfId="9" priority="2">
      <formula>LEN(TRIM(D5))&gt;0</formula>
    </cfRule>
  </conditionalFormatting>
  <conditionalFormatting sqref="E5:E15">
    <cfRule type="expression" dxfId="8" priority="3">
      <formula>LEN(TRIM(E5))&gt;0</formula>
    </cfRule>
  </conditionalFormatting>
  <dataValidations count="1">
    <dataValidation type="list" allowBlank="1" errorTitle="Tick with x or ✔" error="Put an x (or ✔) to tick. Leave blank if not applicable." sqref="D5:E15" xr:uid="{00000000-0002-0000-0600-000000000000}">
      <formula1>"x,✔"</formula1>
      <formula2>0</formula2>
    </dataValidation>
  </dataValidations>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36"/>
  <sheetViews>
    <sheetView zoomScaleNormal="100" workbookViewId="0">
      <pane ySplit="4" topLeftCell="A5" activePane="bottomLeft" state="frozen"/>
      <selection pane="bottomLeft" activeCell="B10" sqref="B10"/>
    </sheetView>
  </sheetViews>
  <sheetFormatPr defaultColWidth="8.7109375" defaultRowHeight="15" x14ac:dyDescent="0.25"/>
  <cols>
    <col min="1" max="1" width="9" customWidth="1"/>
    <col min="2" max="2" width="58" customWidth="1"/>
    <col min="3" max="3" width="26" customWidth="1"/>
    <col min="4" max="5" width="7" customWidth="1"/>
    <col min="6" max="6" width="44" customWidth="1"/>
  </cols>
  <sheetData>
    <row r="1" spans="1:6" ht="21.75" customHeight="1" x14ac:dyDescent="0.25">
      <c r="A1" s="3" t="s">
        <v>164</v>
      </c>
      <c r="B1" s="3"/>
      <c r="C1" s="3"/>
      <c r="D1" s="3"/>
      <c r="E1" s="3"/>
      <c r="F1" s="3"/>
    </row>
    <row r="2" spans="1:6" ht="39.75" customHeight="1" x14ac:dyDescent="0.25">
      <c r="A2" s="2" t="s">
        <v>165</v>
      </c>
      <c r="B2" s="2"/>
      <c r="C2" s="2"/>
      <c r="D2" s="2"/>
      <c r="E2" s="2"/>
      <c r="F2" s="2"/>
    </row>
    <row r="4" spans="1:6" ht="30" customHeight="1" x14ac:dyDescent="0.25">
      <c r="A4" s="7" t="s">
        <v>19</v>
      </c>
      <c r="B4" s="7" t="s">
        <v>166</v>
      </c>
      <c r="C4" s="7" t="s">
        <v>167</v>
      </c>
      <c r="D4" s="7" t="s">
        <v>22</v>
      </c>
      <c r="E4" s="7" t="s">
        <v>6</v>
      </c>
      <c r="F4" s="7" t="s">
        <v>168</v>
      </c>
    </row>
    <row r="5" spans="1:6" ht="19.5" customHeight="1" x14ac:dyDescent="0.25">
      <c r="A5" s="1" t="s">
        <v>169</v>
      </c>
      <c r="B5" s="1"/>
      <c r="C5" s="1"/>
      <c r="D5" s="1"/>
      <c r="E5" s="1"/>
      <c r="F5" s="1"/>
    </row>
    <row r="6" spans="1:6" ht="25.5" x14ac:dyDescent="0.25">
      <c r="A6" s="12" t="s">
        <v>170</v>
      </c>
      <c r="B6" s="13" t="s">
        <v>171</v>
      </c>
      <c r="C6" s="13" t="s">
        <v>172</v>
      </c>
      <c r="D6" s="8"/>
      <c r="E6" s="8"/>
      <c r="F6" s="13"/>
    </row>
    <row r="7" spans="1:6" ht="25.5" x14ac:dyDescent="0.25">
      <c r="A7" s="14" t="s">
        <v>173</v>
      </c>
      <c r="B7" s="15" t="s">
        <v>174</v>
      </c>
      <c r="C7" s="15" t="s">
        <v>175</v>
      </c>
      <c r="D7" s="8"/>
      <c r="E7" s="8"/>
      <c r="F7" s="15"/>
    </row>
    <row r="8" spans="1:6" ht="25.5" x14ac:dyDescent="0.25">
      <c r="A8" s="12" t="s">
        <v>176</v>
      </c>
      <c r="B8" s="13" t="s">
        <v>177</v>
      </c>
      <c r="C8" s="13" t="s">
        <v>178</v>
      </c>
      <c r="D8" s="8"/>
      <c r="E8" s="8"/>
      <c r="F8" s="13"/>
    </row>
    <row r="9" spans="1:6" ht="25.5" x14ac:dyDescent="0.25">
      <c r="A9" s="14" t="s">
        <v>179</v>
      </c>
      <c r="B9" s="15" t="s">
        <v>180</v>
      </c>
      <c r="C9" s="15" t="s">
        <v>181</v>
      </c>
      <c r="D9" s="8"/>
      <c r="E9" s="8"/>
      <c r="F9" s="15"/>
    </row>
    <row r="10" spans="1:6" ht="25.5" x14ac:dyDescent="0.25">
      <c r="A10" s="12" t="s">
        <v>182</v>
      </c>
      <c r="B10" s="13" t="s">
        <v>183</v>
      </c>
      <c r="C10" s="13" t="s">
        <v>184</v>
      </c>
      <c r="D10" s="8"/>
      <c r="E10" s="8"/>
      <c r="F10" s="13"/>
    </row>
    <row r="11" spans="1:6" ht="25.5" x14ac:dyDescent="0.25">
      <c r="A11" s="14" t="s">
        <v>185</v>
      </c>
      <c r="B11" s="15" t="s">
        <v>186</v>
      </c>
      <c r="C11" s="15" t="s">
        <v>187</v>
      </c>
      <c r="D11" s="8"/>
      <c r="E11" s="8"/>
      <c r="F11" s="15"/>
    </row>
    <row r="12" spans="1:6" ht="19.5" customHeight="1" x14ac:dyDescent="0.25">
      <c r="A12" s="1" t="s">
        <v>188</v>
      </c>
      <c r="B12" s="1"/>
      <c r="C12" s="1"/>
      <c r="D12" s="1"/>
      <c r="E12" s="1"/>
      <c r="F12" s="1"/>
    </row>
    <row r="13" spans="1:6" ht="38.25" x14ac:dyDescent="0.25">
      <c r="A13" s="12" t="s">
        <v>189</v>
      </c>
      <c r="B13" s="13" t="s">
        <v>190</v>
      </c>
      <c r="C13" s="13" t="s">
        <v>191</v>
      </c>
      <c r="D13" s="8"/>
      <c r="E13" s="8"/>
      <c r="F13" s="13"/>
    </row>
    <row r="14" spans="1:6" ht="25.5" x14ac:dyDescent="0.25">
      <c r="A14" s="14" t="s">
        <v>192</v>
      </c>
      <c r="B14" s="15" t="s">
        <v>193</v>
      </c>
      <c r="C14" s="15" t="s">
        <v>194</v>
      </c>
      <c r="D14" s="8"/>
      <c r="E14" s="8"/>
      <c r="F14" s="15"/>
    </row>
    <row r="15" spans="1:6" ht="38.25" x14ac:dyDescent="0.25">
      <c r="A15" s="12" t="s">
        <v>195</v>
      </c>
      <c r="B15" s="13" t="s">
        <v>196</v>
      </c>
      <c r="C15" s="13" t="s">
        <v>197</v>
      </c>
      <c r="D15" s="8"/>
      <c r="E15" s="8"/>
      <c r="F15" s="13"/>
    </row>
    <row r="16" spans="1:6" ht="38.25" x14ac:dyDescent="0.25">
      <c r="A16" s="14" t="s">
        <v>198</v>
      </c>
      <c r="B16" s="15" t="s">
        <v>199</v>
      </c>
      <c r="C16" s="15" t="s">
        <v>200</v>
      </c>
      <c r="D16" s="8"/>
      <c r="E16" s="8"/>
      <c r="F16" s="15"/>
    </row>
    <row r="17" spans="1:6" ht="38.25" x14ac:dyDescent="0.25">
      <c r="A17" s="12" t="s">
        <v>201</v>
      </c>
      <c r="B17" s="13" t="s">
        <v>202</v>
      </c>
      <c r="C17" s="13" t="s">
        <v>203</v>
      </c>
      <c r="D17" s="8"/>
      <c r="E17" s="8"/>
      <c r="F17" s="13"/>
    </row>
    <row r="18" spans="1:6" ht="25.5" x14ac:dyDescent="0.25">
      <c r="A18" s="14" t="s">
        <v>204</v>
      </c>
      <c r="B18" s="15" t="s">
        <v>205</v>
      </c>
      <c r="C18" s="15" t="s">
        <v>206</v>
      </c>
      <c r="D18" s="8"/>
      <c r="E18" s="8"/>
      <c r="F18" s="15"/>
    </row>
    <row r="19" spans="1:6" x14ac:dyDescent="0.25">
      <c r="A19" s="12" t="s">
        <v>207</v>
      </c>
      <c r="B19" s="13" t="s">
        <v>208</v>
      </c>
      <c r="C19" s="13" t="s">
        <v>209</v>
      </c>
      <c r="D19" s="8"/>
      <c r="E19" s="8"/>
      <c r="F19" s="13"/>
    </row>
    <row r="20" spans="1:6" ht="38.25" x14ac:dyDescent="0.25">
      <c r="A20" s="14" t="s">
        <v>210</v>
      </c>
      <c r="B20" s="15" t="s">
        <v>211</v>
      </c>
      <c r="C20" s="15" t="s">
        <v>212</v>
      </c>
      <c r="D20" s="8"/>
      <c r="E20" s="8"/>
      <c r="F20" s="15"/>
    </row>
    <row r="21" spans="1:6" ht="19.5" customHeight="1" x14ac:dyDescent="0.25">
      <c r="A21" s="1" t="s">
        <v>213</v>
      </c>
      <c r="B21" s="1"/>
      <c r="C21" s="1"/>
      <c r="D21" s="1"/>
      <c r="E21" s="1"/>
      <c r="F21" s="1"/>
    </row>
    <row r="22" spans="1:6" ht="25.5" x14ac:dyDescent="0.25">
      <c r="A22" s="12" t="s">
        <v>214</v>
      </c>
      <c r="B22" s="13" t="s">
        <v>215</v>
      </c>
      <c r="C22" s="13" t="s">
        <v>216</v>
      </c>
      <c r="D22" s="8"/>
      <c r="E22" s="8"/>
      <c r="F22" s="13"/>
    </row>
    <row r="23" spans="1:6" ht="25.5" x14ac:dyDescent="0.25">
      <c r="A23" s="14" t="s">
        <v>217</v>
      </c>
      <c r="B23" s="15" t="s">
        <v>218</v>
      </c>
      <c r="C23" s="15" t="s">
        <v>219</v>
      </c>
      <c r="D23" s="8"/>
      <c r="E23" s="8"/>
      <c r="F23" s="15"/>
    </row>
    <row r="24" spans="1:6" ht="25.5" x14ac:dyDescent="0.25">
      <c r="A24" s="12" t="s">
        <v>220</v>
      </c>
      <c r="B24" s="13" t="s">
        <v>221</v>
      </c>
      <c r="C24" s="13" t="s">
        <v>222</v>
      </c>
      <c r="D24" s="8"/>
      <c r="E24" s="8"/>
      <c r="F24" s="13"/>
    </row>
    <row r="25" spans="1:6" ht="25.5" x14ac:dyDescent="0.25">
      <c r="A25" s="14" t="s">
        <v>223</v>
      </c>
      <c r="B25" s="15" t="s">
        <v>224</v>
      </c>
      <c r="C25" s="15" t="s">
        <v>225</v>
      </c>
      <c r="D25" s="8"/>
      <c r="E25" s="8"/>
      <c r="F25" s="15"/>
    </row>
    <row r="26" spans="1:6" ht="25.5" x14ac:dyDescent="0.25">
      <c r="A26" s="12" t="s">
        <v>226</v>
      </c>
      <c r="B26" s="13" t="s">
        <v>227</v>
      </c>
      <c r="C26" s="13" t="s">
        <v>228</v>
      </c>
      <c r="D26" s="8"/>
      <c r="E26" s="8"/>
      <c r="F26" s="13"/>
    </row>
    <row r="27" spans="1:6" ht="25.5" x14ac:dyDescent="0.25">
      <c r="A27" s="14" t="s">
        <v>229</v>
      </c>
      <c r="B27" s="15" t="s">
        <v>230</v>
      </c>
      <c r="C27" s="15" t="s">
        <v>231</v>
      </c>
      <c r="D27" s="8"/>
      <c r="E27" s="8"/>
      <c r="F27" s="15"/>
    </row>
    <row r="28" spans="1:6" ht="25.5" x14ac:dyDescent="0.25">
      <c r="A28" s="12" t="s">
        <v>232</v>
      </c>
      <c r="B28" s="13" t="s">
        <v>233</v>
      </c>
      <c r="C28" s="13" t="s">
        <v>234</v>
      </c>
      <c r="D28" s="8"/>
      <c r="E28" s="8"/>
      <c r="F28" s="13"/>
    </row>
    <row r="29" spans="1:6" ht="19.5" customHeight="1" x14ac:dyDescent="0.25">
      <c r="A29" s="1" t="s">
        <v>235</v>
      </c>
      <c r="B29" s="1"/>
      <c r="C29" s="1"/>
      <c r="D29" s="1"/>
      <c r="E29" s="1"/>
      <c r="F29" s="1"/>
    </row>
    <row r="30" spans="1:6" x14ac:dyDescent="0.25">
      <c r="A30" s="14" t="s">
        <v>236</v>
      </c>
      <c r="B30" s="15" t="s">
        <v>237</v>
      </c>
      <c r="C30" s="15" t="s">
        <v>238</v>
      </c>
      <c r="D30" s="8"/>
      <c r="E30" s="8"/>
      <c r="F30" s="15"/>
    </row>
    <row r="31" spans="1:6" x14ac:dyDescent="0.25">
      <c r="A31" s="12" t="s">
        <v>239</v>
      </c>
      <c r="B31" s="13" t="s">
        <v>240</v>
      </c>
      <c r="C31" s="13" t="s">
        <v>241</v>
      </c>
      <c r="D31" s="8"/>
      <c r="E31" s="8"/>
      <c r="F31" s="13"/>
    </row>
    <row r="32" spans="1:6" ht="25.5" x14ac:dyDescent="0.25">
      <c r="A32" s="14" t="s">
        <v>242</v>
      </c>
      <c r="B32" s="15" t="s">
        <v>243</v>
      </c>
      <c r="C32" s="15" t="s">
        <v>244</v>
      </c>
      <c r="D32" s="8"/>
      <c r="E32" s="8"/>
      <c r="F32" s="15"/>
    </row>
    <row r="33" spans="1:6" ht="38.25" x14ac:dyDescent="0.25">
      <c r="A33" s="12" t="s">
        <v>245</v>
      </c>
      <c r="B33" s="13" t="s">
        <v>246</v>
      </c>
      <c r="C33" s="13" t="s">
        <v>247</v>
      </c>
      <c r="D33" s="8"/>
      <c r="E33" s="8"/>
      <c r="F33" s="13"/>
    </row>
    <row r="34" spans="1:6" ht="38.25" x14ac:dyDescent="0.25">
      <c r="A34" s="14" t="s">
        <v>248</v>
      </c>
      <c r="B34" s="15" t="s">
        <v>249</v>
      </c>
      <c r="C34" s="15" t="s">
        <v>250</v>
      </c>
      <c r="D34" s="8"/>
      <c r="E34" s="8"/>
      <c r="F34" s="15"/>
    </row>
    <row r="35" spans="1:6" ht="25.5" x14ac:dyDescent="0.25">
      <c r="A35" s="12" t="s">
        <v>251</v>
      </c>
      <c r="B35" s="13" t="s">
        <v>252</v>
      </c>
      <c r="C35" s="13" t="s">
        <v>253</v>
      </c>
      <c r="D35" s="8"/>
      <c r="E35" s="8"/>
      <c r="F35" s="13"/>
    </row>
    <row r="36" spans="1:6" x14ac:dyDescent="0.25">
      <c r="A36" s="14" t="s">
        <v>254</v>
      </c>
      <c r="B36" s="15" t="s">
        <v>255</v>
      </c>
      <c r="C36" s="15" t="s">
        <v>256</v>
      </c>
      <c r="D36" s="8"/>
      <c r="E36" s="8"/>
      <c r="F36" s="15"/>
    </row>
  </sheetData>
  <mergeCells count="6">
    <mergeCell ref="A29:F29"/>
    <mergeCell ref="A1:F1"/>
    <mergeCell ref="A2:F2"/>
    <mergeCell ref="A5:F5"/>
    <mergeCell ref="A12:F12"/>
    <mergeCell ref="A21:F21"/>
  </mergeCells>
  <conditionalFormatting sqref="D6:D11">
    <cfRule type="expression" dxfId="7" priority="2">
      <formula>LEN(TRIM(D6))&gt;0</formula>
    </cfRule>
  </conditionalFormatting>
  <conditionalFormatting sqref="D13:D20">
    <cfRule type="expression" dxfId="6" priority="4">
      <formula>LEN(TRIM(D13))&gt;0</formula>
    </cfRule>
  </conditionalFormatting>
  <conditionalFormatting sqref="D22:D28">
    <cfRule type="expression" dxfId="5" priority="6">
      <formula>LEN(TRIM(D22))&gt;0</formula>
    </cfRule>
  </conditionalFormatting>
  <conditionalFormatting sqref="D30:D36">
    <cfRule type="expression" dxfId="4" priority="8">
      <formula>LEN(TRIM(D30))&gt;0</formula>
    </cfRule>
  </conditionalFormatting>
  <conditionalFormatting sqref="E6:E11">
    <cfRule type="expression" dxfId="3" priority="3">
      <formula>LEN(TRIM(E6))&gt;0</formula>
    </cfRule>
  </conditionalFormatting>
  <conditionalFormatting sqref="E13:E20">
    <cfRule type="expression" dxfId="2" priority="5">
      <formula>LEN(TRIM(E13))&gt;0</formula>
    </cfRule>
  </conditionalFormatting>
  <conditionalFormatting sqref="E22:E28">
    <cfRule type="expression" dxfId="1" priority="7">
      <formula>LEN(TRIM(E22))&gt;0</formula>
    </cfRule>
  </conditionalFormatting>
  <conditionalFormatting sqref="E30:E36">
    <cfRule type="expression" dxfId="0" priority="9">
      <formula>LEN(TRIM(E30))&gt;0</formula>
    </cfRule>
  </conditionalFormatting>
  <dataValidations count="1">
    <dataValidation type="list" allowBlank="1" errorTitle="Tick with x or ✔" error="Put an x (or ✔) to tick." sqref="D6:E11 D13:E20 D22:E28 D30:E36" xr:uid="{00000000-0002-0000-0700-000000000000}">
      <formula1>"x,✔"</formula1>
      <formula2>0</formula2>
    </dataValidation>
  </dataValidation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Overview</vt:lpstr>
      <vt:lpstr>Batteries</vt:lpstr>
      <vt:lpstr>BMS</vt:lpstr>
      <vt:lpstr>Cooling System</vt:lpstr>
      <vt:lpstr>Battery Space &amp; Install</vt:lpstr>
      <vt:lpstr>Documentation</vt:lpstr>
      <vt:lpstr>Tests &amp; Certification</vt:lpstr>
      <vt:lpstr>Battery Tests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Saikat Koley</cp:lastModifiedBy>
  <cp:revision>0</cp:revision>
  <dcterms:created xsi:type="dcterms:W3CDTF">2026-07-31T15:33:50Z</dcterms:created>
  <dcterms:modified xsi:type="dcterms:W3CDTF">2026-07-31T15:44:17Z</dcterms:modified>
  <dc:language>en-US</dc:language>
</cp:coreProperties>
</file>